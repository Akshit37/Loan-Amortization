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Anhad\"/>
    </mc:Choice>
  </mc:AlternateContent>
  <xr:revisionPtr revIDLastSave="0" documentId="13_ncr:1_{6F33D057-F7D7-409A-A3D1-A939EEC132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Information Sheet" sheetId="2" r:id="rId2"/>
    <sheet name="Repayment Schedule" sheetId="3" r:id="rId3"/>
    <sheet name="Concept Note" sheetId="4" r:id="rId4"/>
    <sheet name="Audit Repor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3" l="1"/>
  <c r="J7" i="2"/>
  <c r="J6" i="2" l="1"/>
  <c r="F10" i="2"/>
  <c r="C5" i="5"/>
  <c r="C4" i="5"/>
  <c r="C3" i="5"/>
  <c r="D6" i="3" l="1"/>
  <c r="J10" i="2"/>
  <c r="J9" i="2" s="1"/>
  <c r="AF10" i="2" s="1"/>
  <c r="E11" i="2"/>
  <c r="E10" i="2"/>
  <c r="J8" i="2" s="1"/>
  <c r="E6" i="3" l="1"/>
  <c r="H21" i="1"/>
  <c r="J12" i="2"/>
  <c r="E21" i="1" s="1"/>
  <c r="G21" i="1"/>
  <c r="J5" i="2"/>
  <c r="J11" i="2"/>
  <c r="F6" i="3"/>
  <c r="G6" i="3"/>
  <c r="H6" i="3"/>
  <c r="I21" i="1" s="1"/>
  <c r="B4" i="5" l="1" a="1"/>
  <c r="B4" i="5" s="1"/>
  <c r="C7" i="3"/>
  <c r="D7" i="3" s="1"/>
  <c r="D21" i="1"/>
  <c r="F21" i="1"/>
  <c r="J21" i="1" l="1"/>
  <c r="G7" i="3"/>
  <c r="E7" i="3" s="1"/>
  <c r="K21" i="1"/>
  <c r="F7" i="3"/>
  <c r="C8" i="3"/>
  <c r="D8" i="3" s="1"/>
  <c r="H7" i="3"/>
  <c r="C9" i="3" l="1"/>
  <c r="D9" i="3" s="1"/>
  <c r="F8" i="3"/>
  <c r="H8" i="3"/>
  <c r="G8" i="3"/>
  <c r="E8" i="3" s="1"/>
  <c r="F9" i="3" l="1"/>
  <c r="H9" i="3"/>
  <c r="G9" i="3"/>
  <c r="E9" i="3" s="1"/>
  <c r="C10" i="3"/>
  <c r="D10" i="3" s="1"/>
  <c r="G10" i="3" l="1"/>
  <c r="E10" i="3" s="1"/>
  <c r="D11" i="3"/>
  <c r="H10" i="3"/>
  <c r="F10" i="3"/>
  <c r="G11" i="3" l="1"/>
  <c r="E11" i="3" s="1"/>
  <c r="F11" i="3"/>
  <c r="H11" i="3"/>
  <c r="C12" i="3"/>
  <c r="D12" i="3" l="1"/>
  <c r="F12" i="3"/>
  <c r="C13" i="3"/>
  <c r="D13" i="3" s="1"/>
  <c r="G12" i="3"/>
  <c r="E12" i="3" s="1"/>
  <c r="H12" i="3"/>
  <c r="C14" i="3" l="1"/>
  <c r="D14" i="3" s="1"/>
  <c r="F13" i="3"/>
  <c r="H13" i="3"/>
  <c r="G13" i="3"/>
  <c r="E13" i="3" s="1"/>
  <c r="G14" i="3" l="1"/>
  <c r="E14" i="3" s="1"/>
  <c r="F14" i="3"/>
  <c r="C15" i="3"/>
  <c r="H14" i="3"/>
  <c r="D15" i="3" l="1"/>
  <c r="G15" i="3"/>
  <c r="E15" i="3" s="1"/>
  <c r="C16" i="3"/>
  <c r="D16" i="3" s="1"/>
  <c r="F15" i="3"/>
  <c r="H15" i="3"/>
  <c r="G16" i="3" l="1"/>
  <c r="E16" i="3" s="1"/>
  <c r="F16" i="3"/>
  <c r="C17" i="3"/>
  <c r="H16" i="3"/>
  <c r="D17" i="3" l="1"/>
  <c r="F17" i="3"/>
  <c r="G17" i="3"/>
  <c r="E17" i="3" s="1"/>
  <c r="C18" i="3"/>
  <c r="D18" i="3" s="1"/>
  <c r="H17" i="3"/>
  <c r="F18" i="3" l="1"/>
  <c r="G18" i="3"/>
  <c r="E18" i="3" s="1"/>
  <c r="C19" i="3"/>
  <c r="D19" i="3" s="1"/>
  <c r="H18" i="3"/>
  <c r="C20" i="3" l="1"/>
  <c r="D20" i="3" s="1"/>
  <c r="H19" i="3"/>
  <c r="G19" i="3"/>
  <c r="E19" i="3" s="1"/>
  <c r="F19" i="3"/>
  <c r="G20" i="3" l="1"/>
  <c r="E20" i="3" s="1"/>
  <c r="F20" i="3"/>
  <c r="C21" i="3"/>
  <c r="D21" i="3" s="1"/>
  <c r="H20" i="3"/>
  <c r="G21" i="3" l="1"/>
  <c r="E21" i="3" s="1"/>
  <c r="F21" i="3"/>
  <c r="C22" i="3"/>
  <c r="D22" i="3" s="1"/>
  <c r="H21" i="3"/>
  <c r="G22" i="3" l="1"/>
  <c r="E22" i="3" s="1"/>
  <c r="H22" i="3"/>
  <c r="C23" i="3"/>
  <c r="D23" i="3" s="1"/>
  <c r="F22" i="3"/>
  <c r="C24" i="3" l="1"/>
  <c r="D24" i="3" s="1"/>
  <c r="H23" i="3"/>
  <c r="F23" i="3"/>
  <c r="G23" i="3"/>
  <c r="E23" i="3" s="1"/>
  <c r="G24" i="3" l="1"/>
  <c r="E24" i="3" s="1"/>
  <c r="H24" i="3"/>
  <c r="C25" i="3"/>
  <c r="D25" i="3" s="1"/>
  <c r="F24" i="3"/>
  <c r="G25" i="3" l="1"/>
  <c r="E25" i="3" s="1"/>
  <c r="C26" i="3"/>
  <c r="D26" i="3" s="1"/>
  <c r="H25" i="3"/>
  <c r="F25" i="3"/>
  <c r="C27" i="3" l="1"/>
  <c r="D27" i="3" s="1"/>
  <c r="F26" i="3"/>
  <c r="H26" i="3"/>
  <c r="G26" i="3"/>
  <c r="E26" i="3" s="1"/>
  <c r="C28" i="3" l="1"/>
  <c r="D28" i="3" s="1"/>
  <c r="H27" i="3"/>
  <c r="G27" i="3"/>
  <c r="E27" i="3" s="1"/>
  <c r="F27" i="3"/>
  <c r="F28" i="3" l="1"/>
  <c r="G28" i="3"/>
  <c r="E28" i="3" s="1"/>
  <c r="C29" i="3"/>
  <c r="D29" i="3" s="1"/>
  <c r="H28" i="3"/>
  <c r="H29" i="3" l="1"/>
  <c r="G29" i="3"/>
  <c r="E29" i="3" s="1"/>
  <c r="C30" i="3"/>
  <c r="D30" i="3" s="1"/>
  <c r="F29" i="3"/>
  <c r="G30" i="3" l="1"/>
  <c r="E30" i="3" s="1"/>
  <c r="F30" i="3"/>
  <c r="C31" i="3"/>
  <c r="D31" i="3" s="1"/>
  <c r="H30" i="3"/>
  <c r="C32" i="3" l="1"/>
  <c r="D32" i="3" s="1"/>
  <c r="G31" i="3"/>
  <c r="E31" i="3" s="1"/>
  <c r="F31" i="3"/>
  <c r="H31" i="3"/>
  <c r="H32" i="3" l="1"/>
  <c r="C33" i="3"/>
  <c r="D33" i="3" s="1"/>
  <c r="F32" i="3"/>
  <c r="G32" i="3"/>
  <c r="E32" i="3" s="1"/>
  <c r="H33" i="3" l="1"/>
  <c r="G33" i="3"/>
  <c r="E33" i="3" s="1"/>
  <c r="F33" i="3"/>
  <c r="C34" i="3"/>
  <c r="D34" i="3" s="1"/>
  <c r="H34" i="3" l="1"/>
  <c r="G34" i="3"/>
  <c r="E34" i="3" s="1"/>
  <c r="F34" i="3"/>
  <c r="C35" i="3"/>
  <c r="D35" i="3" s="1"/>
  <c r="G35" i="3" l="1"/>
  <c r="E35" i="3" s="1"/>
  <c r="C36" i="3"/>
  <c r="D36" i="3" s="1"/>
  <c r="F35" i="3"/>
  <c r="H35" i="3"/>
  <c r="C37" i="3" l="1"/>
  <c r="H37" i="3" s="1"/>
  <c r="H36" i="3"/>
  <c r="G36" i="3"/>
  <c r="E36" i="3" s="1"/>
  <c r="F36" i="3"/>
  <c r="C38" i="3" l="1"/>
  <c r="C39" i="3" s="1"/>
  <c r="D39" i="3" s="1"/>
  <c r="D37" i="3"/>
  <c r="F37" i="3"/>
  <c r="G37" i="3"/>
  <c r="E37" i="3" s="1"/>
  <c r="D38" i="3" l="1"/>
  <c r="G38" i="3"/>
  <c r="E38" i="3" s="1"/>
  <c r="F38" i="3"/>
  <c r="H38" i="3"/>
  <c r="C40" i="3"/>
  <c r="D40" i="3" s="1"/>
  <c r="H39" i="3"/>
  <c r="F39" i="3"/>
  <c r="G39" i="3"/>
  <c r="E39" i="3" l="1"/>
  <c r="C41" i="3"/>
  <c r="D41" i="3" s="1"/>
  <c r="G40" i="3"/>
  <c r="H40" i="3"/>
  <c r="F40" i="3"/>
  <c r="E40" i="3" l="1"/>
  <c r="H41" i="3"/>
  <c r="G41" i="3"/>
  <c r="C42" i="3"/>
  <c r="D42" i="3" s="1"/>
  <c r="F41" i="3"/>
  <c r="C43" i="3" l="1"/>
  <c r="D43" i="3" s="1"/>
  <c r="G42" i="3"/>
  <c r="F42" i="3"/>
  <c r="H42" i="3"/>
  <c r="E41" i="3"/>
  <c r="H43" i="3" l="1"/>
  <c r="C44" i="3"/>
  <c r="D44" i="3" s="1"/>
  <c r="F43" i="3"/>
  <c r="G43" i="3"/>
  <c r="E42" i="3"/>
  <c r="E43" i="3" l="1"/>
  <c r="C45" i="3"/>
  <c r="D45" i="3" s="1"/>
  <c r="F44" i="3"/>
  <c r="G44" i="3"/>
  <c r="H44" i="3"/>
  <c r="H45" i="3" l="1"/>
  <c r="G45" i="3"/>
  <c r="F45" i="3"/>
  <c r="E44" i="3"/>
  <c r="C46" i="3"/>
  <c r="D46" i="3" s="1"/>
  <c r="C47" i="3" l="1"/>
  <c r="D47" i="3" s="1"/>
  <c r="E45" i="3"/>
  <c r="H46" i="3"/>
  <c r="G46" i="3"/>
  <c r="F46" i="3"/>
  <c r="H47" i="3" l="1"/>
  <c r="C48" i="3"/>
  <c r="D48" i="3" s="1"/>
  <c r="F47" i="3"/>
  <c r="G47" i="3"/>
  <c r="E46" i="3"/>
  <c r="E47" i="3" l="1"/>
  <c r="H48" i="3"/>
  <c r="C49" i="3"/>
  <c r="D49" i="3" s="1"/>
  <c r="F48" i="3"/>
  <c r="G48" i="3"/>
  <c r="E48" i="3" s="1"/>
  <c r="C50" i="3" l="1"/>
  <c r="D50" i="3" s="1"/>
  <c r="G49" i="3"/>
  <c r="E49" i="3" s="1"/>
  <c r="H49" i="3"/>
  <c r="F49" i="3"/>
  <c r="C51" i="3" l="1"/>
  <c r="D51" i="3" s="1"/>
  <c r="H50" i="3"/>
  <c r="G50" i="3"/>
  <c r="E50" i="3" s="1"/>
  <c r="F50" i="3"/>
  <c r="C52" i="3" l="1"/>
  <c r="D52" i="3" s="1"/>
  <c r="H51" i="3"/>
  <c r="G51" i="3"/>
  <c r="E51" i="3" s="1"/>
  <c r="F51" i="3"/>
  <c r="C53" i="3" l="1"/>
  <c r="D53" i="3" s="1"/>
  <c r="H52" i="3"/>
  <c r="F52" i="3"/>
  <c r="G52" i="3"/>
  <c r="E52" i="3" s="1"/>
  <c r="F53" i="3" l="1"/>
  <c r="H53" i="3"/>
  <c r="C54" i="3"/>
  <c r="D54" i="3" s="1"/>
  <c r="G53" i="3"/>
  <c r="E53" i="3" s="1"/>
  <c r="G54" i="3"/>
  <c r="F54" i="3"/>
  <c r="C55" i="3"/>
  <c r="D55" i="3" s="1"/>
  <c r="H54" i="3" l="1"/>
  <c r="E54" i="3"/>
  <c r="G55" i="3"/>
  <c r="F55" i="3"/>
  <c r="C56" i="3"/>
  <c r="D56" i="3" s="1"/>
  <c r="H55" i="3"/>
  <c r="E55" i="3" l="1"/>
  <c r="G56" i="3"/>
  <c r="F56" i="3"/>
  <c r="C57" i="3"/>
  <c r="D57" i="3" s="1"/>
  <c r="H56" i="3"/>
  <c r="E56" i="3" l="1"/>
  <c r="F57" i="3"/>
  <c r="G57" i="3"/>
  <c r="H57" i="3"/>
  <c r="C58" i="3"/>
  <c r="D58" i="3" s="1"/>
  <c r="E57" i="3" l="1"/>
  <c r="G58" i="3"/>
  <c r="F58" i="3"/>
  <c r="C59" i="3"/>
  <c r="D59" i="3" s="1"/>
  <c r="H58" i="3"/>
  <c r="E58" i="3" l="1"/>
  <c r="G59" i="3"/>
  <c r="F59" i="3"/>
  <c r="C60" i="3"/>
  <c r="D60" i="3" s="1"/>
  <c r="H59" i="3"/>
  <c r="E59" i="3" l="1"/>
  <c r="F60" i="3"/>
  <c r="G60" i="3"/>
  <c r="C61" i="3"/>
  <c r="D61" i="3" s="1"/>
  <c r="H60" i="3"/>
  <c r="E60" i="3" l="1"/>
  <c r="F61" i="3"/>
  <c r="G61" i="3"/>
  <c r="C62" i="3"/>
  <c r="D62" i="3" s="1"/>
  <c r="H61" i="3"/>
  <c r="E61" i="3" l="1"/>
  <c r="F62" i="3"/>
  <c r="G62" i="3"/>
  <c r="C63" i="3"/>
  <c r="D63" i="3" s="1"/>
  <c r="H62" i="3"/>
  <c r="E62" i="3" l="1"/>
  <c r="G63" i="3"/>
  <c r="F63" i="3"/>
  <c r="C64" i="3"/>
  <c r="D64" i="3" s="1"/>
  <c r="H63" i="3"/>
  <c r="E63" i="3" l="1"/>
  <c r="F64" i="3"/>
  <c r="G64" i="3"/>
  <c r="C65" i="3"/>
  <c r="D65" i="3" s="1"/>
  <c r="H64" i="3"/>
  <c r="E64" i="3" l="1"/>
  <c r="G65" i="3"/>
  <c r="F65" i="3"/>
  <c r="C66" i="3"/>
  <c r="D66" i="3" s="1"/>
  <c r="H65" i="3"/>
  <c r="E65" i="3" l="1"/>
  <c r="F66" i="3"/>
  <c r="G66" i="3"/>
  <c r="C67" i="3"/>
  <c r="D67" i="3" s="1"/>
  <c r="H66" i="3"/>
  <c r="E66" i="3" l="1"/>
  <c r="F67" i="3"/>
  <c r="G67" i="3"/>
  <c r="C68" i="3"/>
  <c r="D68" i="3" s="1"/>
  <c r="H67" i="3"/>
  <c r="E67" i="3" l="1"/>
  <c r="F68" i="3"/>
  <c r="G68" i="3"/>
  <c r="C69" i="3"/>
  <c r="D69" i="3" s="1"/>
  <c r="H68" i="3"/>
  <c r="E68" i="3" l="1"/>
  <c r="G69" i="3"/>
  <c r="F69" i="3"/>
  <c r="C70" i="3"/>
  <c r="D70" i="3" s="1"/>
  <c r="H69" i="3"/>
  <c r="E69" i="3" l="1"/>
  <c r="F70" i="3"/>
  <c r="G70" i="3"/>
  <c r="C71" i="3"/>
  <c r="D71" i="3" s="1"/>
  <c r="H70" i="3"/>
  <c r="E70" i="3" l="1"/>
  <c r="G71" i="3"/>
  <c r="F71" i="3"/>
  <c r="C72" i="3"/>
  <c r="D72" i="3" s="1"/>
  <c r="H71" i="3"/>
  <c r="E71" i="3" l="1"/>
  <c r="F72" i="3"/>
  <c r="G72" i="3"/>
  <c r="E72" i="3" s="1"/>
  <c r="H72" i="3"/>
  <c r="C73" i="3"/>
  <c r="D73" i="3" s="1"/>
  <c r="F73" i="3" l="1"/>
  <c r="G73" i="3"/>
  <c r="E73" i="3" s="1"/>
  <c r="C74" i="3"/>
  <c r="D74" i="3" s="1"/>
  <c r="H73" i="3"/>
  <c r="F74" i="3" l="1"/>
  <c r="G74" i="3"/>
  <c r="E74" i="3" s="1"/>
  <c r="C75" i="3"/>
  <c r="D75" i="3" s="1"/>
  <c r="H74" i="3"/>
  <c r="F75" i="3" l="1"/>
  <c r="G75" i="3"/>
  <c r="E75" i="3" s="1"/>
  <c r="C76" i="3"/>
  <c r="D76" i="3" s="1"/>
  <c r="H75" i="3"/>
  <c r="G76" i="3" l="1"/>
  <c r="E76" i="3" s="1"/>
  <c r="F76" i="3"/>
  <c r="C77" i="3"/>
  <c r="D77" i="3" s="1"/>
  <c r="H76" i="3"/>
  <c r="F77" i="3" l="1"/>
  <c r="G77" i="3"/>
  <c r="E77" i="3" s="1"/>
  <c r="C78" i="3"/>
  <c r="D78" i="3" s="1"/>
  <c r="H77" i="3"/>
  <c r="G78" i="3" l="1"/>
  <c r="E78" i="3" s="1"/>
  <c r="F78" i="3"/>
  <c r="C79" i="3"/>
  <c r="D79" i="3" s="1"/>
  <c r="H78" i="3"/>
  <c r="G79" i="3" l="1"/>
  <c r="E79" i="3" s="1"/>
  <c r="F79" i="3"/>
  <c r="C80" i="3"/>
  <c r="D80" i="3" s="1"/>
  <c r="H79" i="3"/>
  <c r="G80" i="3" l="1"/>
  <c r="E80" i="3" s="1"/>
  <c r="F80" i="3"/>
  <c r="C81" i="3"/>
  <c r="D81" i="3" s="1"/>
  <c r="H80" i="3"/>
  <c r="F81" i="3" l="1"/>
  <c r="G81" i="3"/>
  <c r="E81" i="3" s="1"/>
  <c r="C82" i="3"/>
  <c r="D82" i="3" s="1"/>
  <c r="H81" i="3"/>
  <c r="G82" i="3" l="1"/>
  <c r="E82" i="3" s="1"/>
  <c r="F82" i="3"/>
  <c r="C83" i="3"/>
  <c r="D83" i="3" s="1"/>
  <c r="H82" i="3"/>
  <c r="G83" i="3" l="1"/>
  <c r="E83" i="3" s="1"/>
  <c r="F83" i="3"/>
  <c r="C84" i="3"/>
  <c r="D84" i="3" s="1"/>
  <c r="H83" i="3"/>
  <c r="G84" i="3" l="1"/>
  <c r="E84" i="3" s="1"/>
  <c r="F84" i="3"/>
  <c r="C85" i="3"/>
  <c r="D85" i="3" s="1"/>
  <c r="H84" i="3"/>
  <c r="F85" i="3" l="1"/>
  <c r="G85" i="3"/>
  <c r="E85" i="3" s="1"/>
  <c r="H85" i="3"/>
  <c r="C86" i="3"/>
  <c r="D86" i="3" s="1"/>
  <c r="G86" i="3" l="1"/>
  <c r="E86" i="3" s="1"/>
  <c r="F86" i="3"/>
  <c r="C87" i="3"/>
  <c r="D87" i="3" s="1"/>
  <c r="H86" i="3"/>
  <c r="G87" i="3" l="1"/>
  <c r="E87" i="3" s="1"/>
  <c r="F87" i="3"/>
  <c r="C88" i="3"/>
  <c r="D88" i="3" s="1"/>
  <c r="H87" i="3"/>
  <c r="G88" i="3" l="1"/>
  <c r="E88" i="3" s="1"/>
  <c r="F88" i="3"/>
  <c r="C89" i="3"/>
  <c r="D89" i="3" s="1"/>
  <c r="H88" i="3"/>
  <c r="F89" i="3" l="1"/>
  <c r="G89" i="3"/>
  <c r="E89" i="3" s="1"/>
  <c r="C90" i="3"/>
  <c r="D90" i="3" s="1"/>
  <c r="H89" i="3"/>
  <c r="F90" i="3" l="1"/>
  <c r="G90" i="3"/>
  <c r="E90" i="3" s="1"/>
  <c r="H90" i="3"/>
  <c r="C91" i="3"/>
  <c r="D91" i="3" s="1"/>
  <c r="F91" i="3" l="1"/>
  <c r="G91" i="3"/>
  <c r="E91" i="3" s="1"/>
  <c r="C92" i="3"/>
  <c r="D92" i="3" s="1"/>
  <c r="H91" i="3"/>
  <c r="F92" i="3" l="1"/>
  <c r="G92" i="3"/>
  <c r="E92" i="3" s="1"/>
  <c r="C93" i="3"/>
  <c r="D93" i="3" s="1"/>
  <c r="H92" i="3"/>
  <c r="G93" i="3" l="1"/>
  <c r="E93" i="3" s="1"/>
  <c r="F93" i="3"/>
  <c r="C94" i="3"/>
  <c r="D94" i="3" s="1"/>
  <c r="H93" i="3"/>
  <c r="G94" i="3" l="1"/>
  <c r="E94" i="3" s="1"/>
  <c r="F94" i="3"/>
  <c r="H94" i="3"/>
  <c r="C95" i="3"/>
  <c r="D95" i="3" s="1"/>
  <c r="F95" i="3" l="1"/>
  <c r="G95" i="3"/>
  <c r="E95" i="3" s="1"/>
  <c r="C96" i="3"/>
  <c r="D96" i="3" s="1"/>
  <c r="H95" i="3"/>
  <c r="F96" i="3" l="1"/>
  <c r="G96" i="3"/>
  <c r="E96" i="3" s="1"/>
  <c r="H96" i="3"/>
  <c r="C97" i="3"/>
  <c r="D97" i="3" s="1"/>
  <c r="G97" i="3" l="1"/>
  <c r="E97" i="3" s="1"/>
  <c r="F97" i="3"/>
  <c r="C98" i="3"/>
  <c r="D98" i="3" s="1"/>
  <c r="H97" i="3"/>
  <c r="F98" i="3" l="1"/>
  <c r="G98" i="3"/>
  <c r="E98" i="3" s="1"/>
  <c r="C99" i="3"/>
  <c r="D99" i="3" s="1"/>
  <c r="H98" i="3"/>
  <c r="G99" i="3" l="1"/>
  <c r="E99" i="3" s="1"/>
  <c r="F99" i="3"/>
  <c r="C100" i="3"/>
  <c r="D100" i="3" s="1"/>
  <c r="H99" i="3"/>
  <c r="F100" i="3" l="1"/>
  <c r="G100" i="3"/>
  <c r="E100" i="3" s="1"/>
  <c r="C101" i="3"/>
  <c r="D101" i="3" s="1"/>
  <c r="H100" i="3"/>
  <c r="F101" i="3" l="1"/>
  <c r="G101" i="3"/>
  <c r="E101" i="3" s="1"/>
  <c r="C102" i="3"/>
  <c r="D102" i="3" s="1"/>
  <c r="H101" i="3"/>
  <c r="F102" i="3" l="1"/>
  <c r="G102" i="3"/>
  <c r="E102" i="3" s="1"/>
  <c r="C103" i="3"/>
  <c r="D103" i="3" s="1"/>
  <c r="H102" i="3"/>
  <c r="F103" i="3" l="1"/>
  <c r="G103" i="3"/>
  <c r="E103" i="3" s="1"/>
  <c r="C104" i="3"/>
  <c r="D104" i="3" s="1"/>
  <c r="H103" i="3"/>
  <c r="F104" i="3" l="1"/>
  <c r="G104" i="3"/>
  <c r="E104" i="3" s="1"/>
  <c r="C105" i="3"/>
  <c r="D105" i="3" s="1"/>
  <c r="H104" i="3"/>
  <c r="F105" i="3" l="1"/>
  <c r="G105" i="3"/>
  <c r="E105" i="3" s="1"/>
  <c r="C106" i="3"/>
  <c r="D106" i="3" s="1"/>
  <c r="H105" i="3"/>
  <c r="G106" i="3" l="1"/>
  <c r="E106" i="3" s="1"/>
  <c r="F106" i="3"/>
  <c r="C107" i="3"/>
  <c r="D107" i="3" s="1"/>
  <c r="H106" i="3"/>
  <c r="G107" i="3" l="1"/>
  <c r="E107" i="3" s="1"/>
  <c r="F107" i="3"/>
  <c r="C108" i="3"/>
  <c r="D108" i="3" s="1"/>
  <c r="H107" i="3"/>
  <c r="G108" i="3" l="1"/>
  <c r="E108" i="3" s="1"/>
  <c r="F108" i="3"/>
  <c r="C109" i="3"/>
  <c r="D109" i="3" s="1"/>
  <c r="H108" i="3"/>
  <c r="F109" i="3" l="1"/>
  <c r="G109" i="3"/>
  <c r="E109" i="3" s="1"/>
  <c r="H109" i="3"/>
  <c r="C110" i="3"/>
  <c r="D110" i="3" s="1"/>
  <c r="G110" i="3" l="1"/>
  <c r="E110" i="3" s="1"/>
  <c r="F110" i="3"/>
  <c r="H110" i="3"/>
  <c r="C111" i="3"/>
  <c r="D111" i="3" s="1"/>
  <c r="G111" i="3" l="1"/>
  <c r="E111" i="3" s="1"/>
  <c r="F111" i="3"/>
  <c r="C112" i="3"/>
  <c r="D112" i="3" s="1"/>
  <c r="H111" i="3"/>
  <c r="G112" i="3" l="1"/>
  <c r="E112" i="3" s="1"/>
  <c r="F112" i="3"/>
  <c r="C113" i="3"/>
  <c r="D113" i="3" s="1"/>
  <c r="H112" i="3"/>
  <c r="G113" i="3" l="1"/>
  <c r="E113" i="3" s="1"/>
  <c r="F113" i="3"/>
  <c r="C114" i="3"/>
  <c r="D114" i="3" s="1"/>
  <c r="H113" i="3"/>
  <c r="G114" i="3" l="1"/>
  <c r="E114" i="3" s="1"/>
  <c r="F114" i="3"/>
  <c r="C115" i="3"/>
  <c r="D115" i="3" s="1"/>
  <c r="H114" i="3"/>
  <c r="G115" i="3" l="1"/>
  <c r="E115" i="3" s="1"/>
  <c r="F115" i="3"/>
  <c r="C116" i="3"/>
  <c r="D116" i="3" s="1"/>
  <c r="H115" i="3"/>
  <c r="G116" i="3" l="1"/>
  <c r="E116" i="3" s="1"/>
  <c r="F116" i="3"/>
  <c r="C117" i="3"/>
  <c r="D117" i="3" s="1"/>
  <c r="H116" i="3"/>
  <c r="G117" i="3" l="1"/>
  <c r="E117" i="3" s="1"/>
  <c r="F117" i="3"/>
  <c r="C118" i="3"/>
  <c r="D118" i="3" s="1"/>
  <c r="H117" i="3"/>
  <c r="G118" i="3" l="1"/>
  <c r="E118" i="3" s="1"/>
  <c r="F118" i="3"/>
  <c r="C119" i="3"/>
  <c r="D119" i="3" s="1"/>
  <c r="H118" i="3"/>
  <c r="G119" i="3" l="1"/>
  <c r="E119" i="3" s="1"/>
  <c r="F119" i="3"/>
  <c r="H119" i="3"/>
  <c r="C120" i="3"/>
  <c r="D120" i="3" s="1"/>
  <c r="G120" i="3" l="1"/>
  <c r="E120" i="3" s="1"/>
  <c r="F120" i="3"/>
  <c r="H120" i="3"/>
  <c r="C121" i="3"/>
  <c r="D121" i="3" s="1"/>
  <c r="G121" i="3" l="1"/>
  <c r="E121" i="3" s="1"/>
  <c r="F121" i="3"/>
  <c r="C122" i="3"/>
  <c r="D122" i="3" s="1"/>
  <c r="H121" i="3"/>
  <c r="F122" i="3" l="1"/>
  <c r="G122" i="3"/>
  <c r="E122" i="3" s="1"/>
  <c r="C123" i="3"/>
  <c r="D123" i="3" s="1"/>
  <c r="H122" i="3"/>
  <c r="F123" i="3" l="1"/>
  <c r="G123" i="3"/>
  <c r="E123" i="3" s="1"/>
  <c r="C124" i="3"/>
  <c r="D124" i="3" s="1"/>
  <c r="H123" i="3"/>
  <c r="F124" i="3" l="1"/>
  <c r="G124" i="3"/>
  <c r="E124" i="3" s="1"/>
  <c r="C125" i="3"/>
  <c r="D125" i="3" s="1"/>
  <c r="H124" i="3"/>
  <c r="G125" i="3" l="1"/>
  <c r="E125" i="3" s="1"/>
  <c r="F125" i="3"/>
  <c r="C126" i="3"/>
  <c r="D126" i="3" s="1"/>
  <c r="H125" i="3"/>
  <c r="G126" i="3" l="1"/>
  <c r="E126" i="3" s="1"/>
  <c r="F126" i="3"/>
  <c r="C127" i="3"/>
  <c r="D127" i="3" s="1"/>
  <c r="H126" i="3"/>
  <c r="F127" i="3" l="1"/>
  <c r="G127" i="3"/>
  <c r="E127" i="3" s="1"/>
  <c r="C128" i="3"/>
  <c r="D128" i="3" s="1"/>
  <c r="H127" i="3"/>
  <c r="F128" i="3" l="1"/>
  <c r="G128" i="3"/>
  <c r="E128" i="3" s="1"/>
  <c r="C129" i="3"/>
  <c r="D129" i="3" s="1"/>
  <c r="H128" i="3"/>
  <c r="G129" i="3" l="1"/>
  <c r="E129" i="3" s="1"/>
  <c r="F129" i="3"/>
  <c r="C130" i="3"/>
  <c r="D130" i="3" s="1"/>
  <c r="H129" i="3"/>
  <c r="F130" i="3" l="1"/>
  <c r="G130" i="3"/>
  <c r="E130" i="3" s="1"/>
  <c r="H130" i="3"/>
  <c r="C131" i="3"/>
  <c r="D131" i="3" s="1"/>
  <c r="F131" i="3" l="1"/>
  <c r="G131" i="3"/>
  <c r="E131" i="3" s="1"/>
  <c r="C132" i="3"/>
  <c r="D132" i="3" s="1"/>
  <c r="H131" i="3"/>
  <c r="F132" i="3" l="1"/>
  <c r="G132" i="3"/>
  <c r="E132" i="3" s="1"/>
  <c r="H132" i="3"/>
  <c r="C133" i="3"/>
  <c r="D133" i="3" s="1"/>
  <c r="G133" i="3" l="1"/>
  <c r="E133" i="3" s="1"/>
  <c r="F133" i="3"/>
  <c r="C134" i="3"/>
  <c r="D134" i="3" s="1"/>
  <c r="H133" i="3"/>
  <c r="G134" i="3" l="1"/>
  <c r="E134" i="3" s="1"/>
  <c r="F134" i="3"/>
  <c r="H134" i="3"/>
  <c r="C135" i="3"/>
  <c r="D135" i="3" s="1"/>
  <c r="F135" i="3" l="1"/>
  <c r="G135" i="3"/>
  <c r="E135" i="3" s="1"/>
  <c r="C136" i="3"/>
  <c r="D136" i="3" s="1"/>
  <c r="H135" i="3"/>
  <c r="F136" i="3" l="1"/>
  <c r="G136" i="3"/>
  <c r="E136" i="3" s="1"/>
  <c r="C137" i="3"/>
  <c r="D137" i="3" s="1"/>
  <c r="H136" i="3"/>
  <c r="G137" i="3" l="1"/>
  <c r="E137" i="3" s="1"/>
  <c r="F137" i="3"/>
  <c r="C138" i="3"/>
  <c r="D138" i="3" s="1"/>
  <c r="H137" i="3"/>
  <c r="F138" i="3" l="1"/>
  <c r="G138" i="3"/>
  <c r="E138" i="3" s="1"/>
  <c r="C139" i="3"/>
  <c r="D139" i="3" s="1"/>
  <c r="H138" i="3"/>
  <c r="G139" i="3" l="1"/>
  <c r="E139" i="3" s="1"/>
  <c r="F139" i="3"/>
  <c r="C140" i="3"/>
  <c r="D140" i="3" s="1"/>
  <c r="H139" i="3"/>
  <c r="G140" i="3" l="1"/>
  <c r="E140" i="3" s="1"/>
  <c r="F140" i="3"/>
  <c r="C141" i="3"/>
  <c r="D141" i="3" s="1"/>
  <c r="H140" i="3"/>
  <c r="G141" i="3" l="1"/>
  <c r="E141" i="3" s="1"/>
  <c r="F141" i="3"/>
  <c r="C142" i="3"/>
  <c r="D142" i="3" s="1"/>
  <c r="H141" i="3"/>
  <c r="G142" i="3" l="1"/>
  <c r="E142" i="3" s="1"/>
  <c r="F142" i="3"/>
  <c r="C143" i="3"/>
  <c r="D143" i="3" s="1"/>
  <c r="H142" i="3"/>
  <c r="F143" i="3" l="1"/>
  <c r="G143" i="3"/>
  <c r="E143" i="3" s="1"/>
  <c r="C144" i="3"/>
  <c r="D144" i="3" s="1"/>
  <c r="H143" i="3"/>
  <c r="G144" i="3" l="1"/>
  <c r="E144" i="3" s="1"/>
  <c r="F144" i="3"/>
  <c r="C145" i="3"/>
  <c r="D145" i="3" s="1"/>
  <c r="H144" i="3"/>
  <c r="F145" i="3" l="1"/>
  <c r="G145" i="3"/>
  <c r="E145" i="3" s="1"/>
  <c r="H145" i="3"/>
  <c r="C146" i="3"/>
  <c r="D146" i="3" s="1"/>
  <c r="G146" i="3" l="1"/>
  <c r="E146" i="3" s="1"/>
  <c r="F146" i="3"/>
  <c r="C147" i="3"/>
  <c r="D147" i="3" s="1"/>
  <c r="H146" i="3"/>
  <c r="G147" i="3" l="1"/>
  <c r="E147" i="3" s="1"/>
  <c r="F147" i="3"/>
  <c r="H147" i="3"/>
  <c r="C148" i="3"/>
  <c r="D148" i="3" s="1"/>
  <c r="G148" i="3" l="1"/>
  <c r="E148" i="3" s="1"/>
  <c r="F148" i="3"/>
  <c r="H148" i="3"/>
  <c r="C149" i="3"/>
  <c r="D149" i="3" s="1"/>
  <c r="G149" i="3" l="1"/>
  <c r="E149" i="3" s="1"/>
  <c r="F149" i="3"/>
  <c r="H149" i="3"/>
  <c r="C150" i="3"/>
  <c r="H150" i="3" l="1"/>
  <c r="D150" i="3"/>
  <c r="F150" i="3"/>
  <c r="G150" i="3"/>
  <c r="E150" i="3" s="1"/>
  <c r="C151" i="3"/>
  <c r="H151" i="3" l="1"/>
  <c r="D151" i="3"/>
  <c r="C152" i="3"/>
  <c r="F151" i="3"/>
  <c r="G151" i="3"/>
  <c r="E151" i="3" s="1"/>
  <c r="H152" i="3" l="1"/>
  <c r="D152" i="3"/>
  <c r="C153" i="3"/>
  <c r="F152" i="3"/>
  <c r="G152" i="3"/>
  <c r="E152" i="3" s="1"/>
  <c r="H153" i="3" l="1"/>
  <c r="D153" i="3"/>
  <c r="C154" i="3"/>
  <c r="G153" i="3"/>
  <c r="E153" i="3" s="1"/>
  <c r="F153" i="3"/>
  <c r="H154" i="3" l="1"/>
  <c r="D154" i="3"/>
  <c r="C155" i="3"/>
  <c r="G154" i="3"/>
  <c r="E154" i="3" s="1"/>
  <c r="F154" i="3"/>
  <c r="H155" i="3" l="1"/>
  <c r="D155" i="3"/>
  <c r="C156" i="3"/>
  <c r="F155" i="3"/>
  <c r="G155" i="3"/>
  <c r="E155" i="3" s="1"/>
  <c r="H156" i="3" l="1"/>
  <c r="D156" i="3"/>
  <c r="C157" i="3"/>
  <c r="G156" i="3"/>
  <c r="E156" i="3" s="1"/>
  <c r="F156" i="3"/>
  <c r="H157" i="3" l="1"/>
  <c r="C158" i="3"/>
  <c r="D157" i="3"/>
  <c r="G157" i="3"/>
  <c r="E157" i="3" s="1"/>
  <c r="F157" i="3"/>
  <c r="F158" i="3" l="1"/>
  <c r="H158" i="3"/>
  <c r="L21" i="1" s="1"/>
  <c r="AF11" i="2" s="1"/>
  <c r="G158" i="3"/>
  <c r="E158" i="3" s="1"/>
  <c r="D158" i="3"/>
  <c r="B3" i="5" l="1" a="1"/>
  <c r="B3" i="5" s="1"/>
  <c r="B5" i="5" a="1"/>
  <c r="B5" i="5" s="1"/>
  <c r="B6" i="5" l="1"/>
  <c r="N1" i="1" s="1"/>
</calcChain>
</file>

<file path=xl/sharedStrings.xml><?xml version="1.0" encoding="utf-8"?>
<sst xmlns="http://schemas.openxmlformats.org/spreadsheetml/2006/main" count="59" uniqueCount="51">
  <si>
    <t>Annual</t>
  </si>
  <si>
    <t>Semi-Annual</t>
  </si>
  <si>
    <t>Quarterly</t>
  </si>
  <si>
    <t>Monthly</t>
  </si>
  <si>
    <t>Arrear</t>
  </si>
  <si>
    <t>Advance</t>
  </si>
  <si>
    <t>Inputs</t>
  </si>
  <si>
    <t>Car</t>
  </si>
  <si>
    <t>Loan</t>
  </si>
  <si>
    <t>Asset</t>
  </si>
  <si>
    <t>Asset Value</t>
  </si>
  <si>
    <t>Down Payment</t>
  </si>
  <si>
    <t>Pre-Closure Charges</t>
  </si>
  <si>
    <t>Frequency</t>
  </si>
  <si>
    <t>Type</t>
  </si>
  <si>
    <t>Loan Rate</t>
  </si>
  <si>
    <t>Tenure</t>
  </si>
  <si>
    <t>Loan Date</t>
  </si>
  <si>
    <t>Years</t>
  </si>
  <si>
    <t>Output</t>
  </si>
  <si>
    <t>Loan Status</t>
  </si>
  <si>
    <t>Todays Date</t>
  </si>
  <si>
    <t>Next Due Date</t>
  </si>
  <si>
    <t>Loan Amount</t>
  </si>
  <si>
    <t>Total Installments</t>
  </si>
  <si>
    <t>Original</t>
  </si>
  <si>
    <t>Maturity Date</t>
  </si>
  <si>
    <t>Interest</t>
  </si>
  <si>
    <t>Principal</t>
  </si>
  <si>
    <t>Installment No.</t>
  </si>
  <si>
    <t>Due Date</t>
  </si>
  <si>
    <t>Principal Outstanding</t>
  </si>
  <si>
    <t>Installment</t>
  </si>
  <si>
    <t>Loan Amortization Schedule</t>
  </si>
  <si>
    <t>Loan - O - Meter</t>
  </si>
  <si>
    <t>Previous Installment Number</t>
  </si>
  <si>
    <t>Current Installment Number</t>
  </si>
  <si>
    <t>Days Left</t>
  </si>
  <si>
    <t>Installment Amount</t>
  </si>
  <si>
    <t>Interest Component</t>
  </si>
  <si>
    <t>Principal Component</t>
  </si>
  <si>
    <t>Installments Paid</t>
  </si>
  <si>
    <t>Client Information Panel</t>
  </si>
  <si>
    <t>Sheet</t>
  </si>
  <si>
    <t>Errors</t>
  </si>
  <si>
    <t>Dashboard</t>
  </si>
  <si>
    <t>Information Sheet</t>
  </si>
  <si>
    <t>Repayment Schedule</t>
  </si>
  <si>
    <t>Total</t>
  </si>
  <si>
    <t>Cells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</si>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</sst>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52">
    <xf numFmtId="0" fontId="0" fillId="0" borderId="0" xfId="0"/>
    <xf numFmtId="0" fontId="0" fillId="2" borderId="0" xfId="0" applyFill="1"/>
    <xf numFmtId="0" fontId="0" fillId="2" borderId="1" xfId="0" applyFill="1" applyBorder="1"/>
    <xf numFmtId="0" fontId="2" fillId="2" borderId="1" xfId="0" applyFont="1" applyFill="1" applyBorder="1"/>
    <xf numFmtId="9" fontId="0" fillId="2" borderId="1" xfId="0" applyNumberFormat="1" applyFill="1" applyBorder="1"/>
    <xf numFmtId="15" fontId="0" fillId="2" borderId="1" xfId="0" applyNumberFormat="1" applyFill="1" applyBorder="1"/>
    <xf numFmtId="164" fontId="0" fillId="2" borderId="1" xfId="0" applyNumberFormat="1" applyFill="1" applyBorder="1"/>
    <xf numFmtId="44" fontId="0" fillId="2" borderId="1" xfId="1" applyFont="1" applyFill="1" applyBorder="1"/>
    <xf numFmtId="0" fontId="3" fillId="2" borderId="0" xfId="2" quotePrefix="1" applyFill="1"/>
    <xf numFmtId="0" fontId="2" fillId="0" borderId="0" xfId="0" applyFont="1"/>
    <xf numFmtId="0" fontId="0" fillId="2" borderId="0" xfId="0" quotePrefix="1" applyFill="1"/>
    <xf numFmtId="0" fontId="2" fillId="2" borderId="0" xfId="0" applyFont="1" applyFill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5" fontId="0" fillId="2" borderId="6" xfId="0" applyNumberFormat="1" applyFill="1" applyBorder="1" applyAlignment="1">
      <alignment horizontal="center"/>
    </xf>
    <xf numFmtId="15" fontId="0" fillId="2" borderId="0" xfId="0" applyNumberFormat="1" applyFill="1"/>
    <xf numFmtId="44" fontId="0" fillId="2" borderId="0" xfId="1" applyFont="1" applyFill="1"/>
    <xf numFmtId="0" fontId="0" fillId="2" borderId="8" xfId="0" applyFill="1" applyBorder="1"/>
    <xf numFmtId="15" fontId="0" fillId="2" borderId="8" xfId="0" applyNumberFormat="1" applyFill="1" applyBorder="1"/>
    <xf numFmtId="44" fontId="0" fillId="2" borderId="8" xfId="1" applyFont="1" applyFill="1" applyBorder="1"/>
    <xf numFmtId="44" fontId="0" fillId="2" borderId="0" xfId="1" applyFont="1" applyFill="1" applyBorder="1"/>
    <xf numFmtId="44" fontId="0" fillId="2" borderId="6" xfId="1" applyFont="1" applyFill="1" applyBorder="1" applyAlignment="1">
      <alignment horizontal="center"/>
    </xf>
    <xf numFmtId="44" fontId="0" fillId="2" borderId="7" xfId="1" applyFont="1" applyFill="1" applyBorder="1" applyAlignment="1">
      <alignment horizontal="center"/>
    </xf>
    <xf numFmtId="0" fontId="2" fillId="2" borderId="9" xfId="0" applyFont="1" applyFill="1" applyBorder="1"/>
    <xf numFmtId="0" fontId="0" fillId="2" borderId="9" xfId="0" applyFill="1" applyBorder="1"/>
    <xf numFmtId="0" fontId="0" fillId="2" borderId="0" xfId="0" applyFill="1" applyAlignment="1">
      <alignment horizontal="center"/>
    </xf>
    <xf numFmtId="44" fontId="0" fillId="2" borderId="1" xfId="0" applyNumberFormat="1" applyFill="1" applyBorder="1"/>
    <xf numFmtId="0" fontId="2" fillId="2" borderId="1" xfId="0" applyFont="1" applyFill="1" applyBorder="1" applyAlignment="1">
      <alignment horizontal="center"/>
    </xf>
    <xf numFmtId="0" fontId="0" fillId="3" borderId="0" xfId="0" applyFill="1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left"/>
    </xf>
    <xf numFmtId="0" fontId="2" fillId="3" borderId="11" xfId="0" applyFont="1" applyFill="1" applyBorder="1" applyAlignment="1">
      <alignment horizontal="left"/>
    </xf>
    <xf numFmtId="0" fontId="2" fillId="3" borderId="12" xfId="0" applyFont="1" applyFill="1" applyBorder="1" applyAlignment="1">
      <alignment horizontal="left"/>
    </xf>
    <xf numFmtId="0" fontId="4" fillId="3" borderId="0" xfId="0" applyFont="1" applyFill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Loan Installment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6D9-4721-AB05-4D2158F3152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06D9-4721-AB05-4D2158F3152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'Information Sheet'!$I$11:$I$12</c:f>
              <c:strCache>
                <c:ptCount val="2"/>
                <c:pt idx="0">
                  <c:v>Total Installments</c:v>
                </c:pt>
                <c:pt idx="1">
                  <c:v>Installments Paid</c:v>
                </c:pt>
              </c:strCache>
            </c:strRef>
          </c:cat>
          <c:val>
            <c:numRef>
              <c:f>'Information Sheet'!$J$11:$J$12</c:f>
              <c:numCache>
                <c:formatCode>General</c:formatCode>
                <c:ptCount val="2"/>
                <c:pt idx="0">
                  <c:v>5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D9-4721-AB05-4D2158F3152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Loan Repayment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'Information Sheet'!$AE$10:$AE$11</c:f>
              <c:strCache>
                <c:ptCount val="2"/>
                <c:pt idx="0">
                  <c:v>Loan Amount</c:v>
                </c:pt>
                <c:pt idx="1">
                  <c:v>Principal Outstanding</c:v>
                </c:pt>
              </c:strCache>
            </c:strRef>
          </c:cat>
          <c:val>
            <c:numRef>
              <c:f>'Information Sheet'!$AF$10:$AF$11</c:f>
              <c:numCache>
                <c:formatCode>_("₹"* #,##0.00_);_("₹"* \(#,##0.00\);_("₹"* "-"??_);_(@_)</c:formatCode>
                <c:ptCount val="2"/>
                <c:pt idx="0">
                  <c:v>800000</c:v>
                </c:pt>
                <c:pt idx="1">
                  <c:v>136365.16365346932</c:v>
                </c:pt>
              </c:numCache>
            </c:numRef>
          </c:val>
          <c:shape val="pyramidToMax"/>
          <c:extLst>
            <c:ext xmlns:c16="http://schemas.microsoft.com/office/drawing/2014/chart" uri="{C3380CC4-5D6E-409C-BE32-E72D297353CC}">
              <c16:uniqueId val="{00000000-0C68-448D-9921-7866F16567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503774016"/>
        <c:axId val="1503777376"/>
        <c:axId val="0"/>
      </c:bar3DChart>
      <c:catAx>
        <c:axId val="150377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777376"/>
        <c:crosses val="autoZero"/>
        <c:auto val="1"/>
        <c:lblAlgn val="ctr"/>
        <c:lblOffset val="100"/>
        <c:noMultiLvlLbl val="0"/>
      </c:catAx>
      <c:valAx>
        <c:axId val="150377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77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Spin" dx="26" fmlaLink="$D$9" max="30000" page="10" val="5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Concept Note'!A1"/><Relationship Id="rId2" Type="http://schemas.openxmlformats.org/officeDocument/2006/relationships/hyperlink" Target="#'Repayment Schedule'!A1"/><Relationship Id="rId1" Type="http://schemas.openxmlformats.org/officeDocument/2006/relationships/hyperlink" Target="#'Information Sheet'!A1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hyperlink" Target="#'Audit Report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1303619</xdr:colOff>
      <xdr:row>4</xdr:row>
      <xdr:rowOff>114511</xdr:rowOff>
    </xdr:from>
    <xdr:to>
      <xdr:col>8</xdr:col>
      <xdr:colOff>145142</xdr:colOff>
      <xdr:row>16</xdr:row>
      <xdr:rowOff>80806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D951B19D-0920-DE86-BB2C-74A93B310603}"/>
            </a:ext>
          </a:extLst>
        </xdr:cNvPr>
        <xdr:cNvSpPr/>
      </xdr:nvSpPr>
      <xdr:spPr>
        <a:xfrm>
          <a:off x="4017790" y="956340"/>
          <a:ext cx="2774895" cy="2143437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5</xdr:col>
      <xdr:colOff>810037</xdr:colOff>
      <xdr:row>6</xdr:row>
      <xdr:rowOff>126302</xdr:rowOff>
    </xdr:from>
    <xdr:ext cx="1059072" cy="233205"/>
    <xdr:sp macro="" textlink="">
      <xdr:nvSpPr>
        <xdr:cNvPr id="4" name="TextBox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45B76B-2035-7671-8B39-8EFAD9700897}"/>
            </a:ext>
          </a:extLst>
        </xdr:cNvPr>
        <xdr:cNvSpPr txBox="1"/>
      </xdr:nvSpPr>
      <xdr:spPr>
        <a:xfrm>
          <a:off x="4845008" y="1330988"/>
          <a:ext cx="1059072" cy="233205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900" b="1"/>
            <a:t>Information Sheet</a:t>
          </a:r>
          <a:endParaRPr lang="en-IN" sz="1100" b="1"/>
        </a:p>
      </xdr:txBody>
    </xdr:sp>
    <xdr:clientData/>
  </xdr:oneCellAnchor>
  <xdr:oneCellAnchor>
    <xdr:from>
      <xdr:col>5</xdr:col>
      <xdr:colOff>747696</xdr:colOff>
      <xdr:row>9</xdr:row>
      <xdr:rowOff>37473</xdr:rowOff>
    </xdr:from>
    <xdr:ext cx="1207405" cy="233205"/>
    <xdr:sp macro="" textlink="">
      <xdr:nvSpPr>
        <xdr:cNvPr id="5" name="TextBox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21EB98-FEAC-9A23-9772-EAB1023370F0}"/>
            </a:ext>
          </a:extLst>
        </xdr:cNvPr>
        <xdr:cNvSpPr txBox="1"/>
      </xdr:nvSpPr>
      <xdr:spPr>
        <a:xfrm>
          <a:off x="4782667" y="1786444"/>
          <a:ext cx="1207405" cy="233205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900" b="1"/>
            <a:t>Repayment Schedule</a:t>
          </a:r>
        </a:p>
      </xdr:txBody>
    </xdr:sp>
    <xdr:clientData/>
  </xdr:oneCellAnchor>
  <xdr:oneCellAnchor>
    <xdr:from>
      <xdr:col>5</xdr:col>
      <xdr:colOff>898908</xdr:colOff>
      <xdr:row>11</xdr:row>
      <xdr:rowOff>128715</xdr:rowOff>
    </xdr:from>
    <xdr:ext cx="867507" cy="230652"/>
    <xdr:sp macro="" textlink="">
      <xdr:nvSpPr>
        <xdr:cNvPr id="6" name="TextBox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6BEB73F-5CF3-5C53-1C8D-7AC5D9CCBAF9}"/>
            </a:ext>
          </a:extLst>
        </xdr:cNvPr>
        <xdr:cNvSpPr txBox="1"/>
      </xdr:nvSpPr>
      <xdr:spPr>
        <a:xfrm>
          <a:off x="4933879" y="2240544"/>
          <a:ext cx="867507" cy="230652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900" b="1"/>
            <a:t>Concept Notes</a:t>
          </a:r>
        </a:p>
      </xdr:txBody>
    </xdr:sp>
    <xdr:clientData/>
  </xdr:oneCellAnchor>
  <xdr:oneCellAnchor>
    <xdr:from>
      <xdr:col>5</xdr:col>
      <xdr:colOff>936772</xdr:colOff>
      <xdr:row>14</xdr:row>
      <xdr:rowOff>5709</xdr:rowOff>
    </xdr:from>
    <xdr:ext cx="801053" cy="233205"/>
    <xdr:sp macro="" textlink="">
      <xdr:nvSpPr>
        <xdr:cNvPr id="7" name="TextBox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F15F8BE-E7AE-B1A0-D874-A10BA8E63407}"/>
            </a:ext>
          </a:extLst>
        </xdr:cNvPr>
        <xdr:cNvSpPr txBox="1"/>
      </xdr:nvSpPr>
      <xdr:spPr>
        <a:xfrm>
          <a:off x="4971743" y="2661823"/>
          <a:ext cx="801053" cy="233205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rgbClr val="00206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900" b="1"/>
            <a:t>Audit Report</a:t>
          </a:r>
        </a:p>
      </xdr:txBody>
    </xdr:sp>
    <xdr:clientData/>
  </xdr:oneCellAnchor>
  <xdr:oneCellAnchor>
    <xdr:from>
      <xdr:col>5</xdr:col>
      <xdr:colOff>794268</xdr:colOff>
      <xdr:row>4</xdr:row>
      <xdr:rowOff>169983</xdr:rowOff>
    </xdr:from>
    <xdr:ext cx="1280159" cy="23320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3B1B173-75B2-86B8-C240-16E532FCE467}"/>
            </a:ext>
          </a:extLst>
        </xdr:cNvPr>
        <xdr:cNvSpPr txBox="1"/>
      </xdr:nvSpPr>
      <xdr:spPr>
        <a:xfrm>
          <a:off x="4829239" y="1011812"/>
          <a:ext cx="128015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900" b="1" i="1">
              <a:solidFill>
                <a:schemeClr val="tx1"/>
              </a:solidFill>
            </a:rPr>
            <a:t>Navigation</a:t>
          </a:r>
          <a:r>
            <a:rPr lang="en-IN" sz="900" b="1" i="1" baseline="0">
              <a:solidFill>
                <a:schemeClr val="tx1"/>
              </a:solidFill>
            </a:rPr>
            <a:t> Handle</a:t>
          </a:r>
          <a:endParaRPr lang="en-IN" sz="900" b="1" i="1">
            <a:solidFill>
              <a:schemeClr val="tx1"/>
            </a:solidFill>
          </a:endParaRPr>
        </a:p>
      </xdr:txBody>
    </xdr:sp>
    <xdr:clientData/>
  </xdr:oneCellAnchor>
  <xdr:twoCellAnchor>
    <xdr:from>
      <xdr:col>8</xdr:col>
      <xdr:colOff>333829</xdr:colOff>
      <xdr:row>3</xdr:row>
      <xdr:rowOff>47772</xdr:rowOff>
    </xdr:from>
    <xdr:to>
      <xdr:col>11</xdr:col>
      <xdr:colOff>1025771</xdr:colOff>
      <xdr:row>17</xdr:row>
      <xdr:rowOff>29308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D11157D-B922-4456-B7D4-EF85D9B75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16</xdr:col>
      <xdr:colOff>480060</xdr:colOff>
      <xdr:row>1</xdr:row>
      <xdr:rowOff>167640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C733378-E044-A778-A48B-DC68F3B5D5D7}"/>
            </a:ext>
          </a:extLst>
        </xdr:cNvPr>
        <xdr:cNvSpPr txBox="1"/>
      </xdr:nvSpPr>
      <xdr:spPr>
        <a:xfrm>
          <a:off x="10226040" y="358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0</xdr:col>
      <xdr:colOff>1</xdr:colOff>
      <xdr:row>3</xdr:row>
      <xdr:rowOff>67175</xdr:rowOff>
    </xdr:from>
    <xdr:to>
      <xdr:col>4</xdr:col>
      <xdr:colOff>1117600</xdr:colOff>
      <xdr:row>16</xdr:row>
      <xdr:rowOff>160420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310C3C6-D230-F0DC-AB88-2A64B8905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7620</xdr:colOff>
          <xdr:row>8</xdr:row>
          <xdr:rowOff>7620</xdr:rowOff>
        </xdr:from>
        <xdr:to>
          <xdr:col>3</xdr:col>
          <xdr:colOff>502920</xdr:colOff>
          <xdr:row>9</xdr:row>
          <xdr:rowOff>0</xdr:rowOff>
        </xdr:to>
        <xdr:sp macro="" textlink="">
          <xdr:nvSpPr>
            <xdr:cNvPr id="4097" name="Spinner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1"/>
  <sheetViews>
    <sheetView tabSelected="1" zoomScale="105" workbookViewId="0">
      <selection activeCell="F4" sqref="F4"/>
    </sheetView>
  </sheetViews>
  <sheetFormatPr defaultRowHeight="14.4" x14ac:dyDescent="0.3"/>
  <cols>
    <col min="1" max="3" width="8.88671875" style="1"/>
    <col min="4" max="4" width="12.88671875" style="1" customWidth="1"/>
    <col min="5" max="5" width="19.21875" style="1" customWidth="1"/>
    <col min="6" max="6" width="18.6640625" style="1" customWidth="1"/>
    <col min="7" max="7" width="10.88671875" style="1" customWidth="1"/>
    <col min="8" max="8" width="8.5546875" style="1" bestFit="1" customWidth="1"/>
    <col min="9" max="9" width="14.21875" style="1" customWidth="1"/>
    <col min="10" max="10" width="14" style="1" customWidth="1"/>
    <col min="11" max="11" width="13.109375" style="1" customWidth="1"/>
    <col min="12" max="12" width="15.21875" style="1" customWidth="1"/>
    <col min="13" max="14" width="8.88671875" style="1"/>
    <col min="15" max="15" width="8.88671875" style="1" customWidth="1"/>
    <col min="16" max="52" width="8.88671875" style="1"/>
    <col min="53" max="53" width="18.6640625" style="1" bestFit="1" customWidth="1"/>
    <col min="54" max="54" width="13.44140625" style="1" bestFit="1" customWidth="1"/>
    <col min="55" max="16384" width="8.88671875" style="1"/>
  </cols>
  <sheetData>
    <row r="1" spans="1:53" x14ac:dyDescent="0.3">
      <c r="A1" s="28"/>
      <c r="B1" s="28"/>
      <c r="C1" s="28"/>
      <c r="D1" s="28"/>
      <c r="E1" s="28"/>
      <c r="F1" s="36" t="s">
        <v>34</v>
      </c>
      <c r="G1" s="36"/>
      <c r="H1" s="36"/>
      <c r="I1" s="28"/>
      <c r="J1" s="28"/>
      <c r="K1" s="28"/>
      <c r="L1" s="28"/>
      <c r="N1" s="25">
        <f ca="1">'Audit Report'!B6</f>
        <v>0</v>
      </c>
    </row>
    <row r="2" spans="1:53" ht="23.4" customHeight="1" x14ac:dyDescent="0.3">
      <c r="A2" s="28"/>
      <c r="B2" s="28"/>
      <c r="C2" s="28"/>
      <c r="D2" s="28"/>
      <c r="E2" s="28"/>
      <c r="F2" s="36"/>
      <c r="G2" s="36"/>
      <c r="H2" s="36"/>
      <c r="I2" s="28"/>
      <c r="J2" s="28"/>
      <c r="K2" s="28"/>
      <c r="L2" s="28"/>
    </row>
    <row r="5" spans="1:53" x14ac:dyDescent="0.3">
      <c r="G5" s="8"/>
    </row>
    <row r="9" spans="1:53" x14ac:dyDescent="0.3">
      <c r="BA9" s="11"/>
    </row>
    <row r="15" spans="1:53" x14ac:dyDescent="0.3">
      <c r="O15" s="1" t="s">
        <v>50</v>
      </c>
    </row>
    <row r="19" spans="1:12" ht="15" thickBot="1" x14ac:dyDescent="0.35"/>
    <row r="20" spans="1:12" ht="28.8" x14ac:dyDescent="0.3">
      <c r="A20" s="37" t="s">
        <v>42</v>
      </c>
      <c r="B20" s="38"/>
      <c r="C20" s="39"/>
      <c r="D20" s="29" t="s">
        <v>24</v>
      </c>
      <c r="E20" s="30" t="s">
        <v>35</v>
      </c>
      <c r="F20" s="30" t="s">
        <v>36</v>
      </c>
      <c r="G20" s="30" t="s">
        <v>30</v>
      </c>
      <c r="H20" s="30" t="s">
        <v>37</v>
      </c>
      <c r="I20" s="30" t="s">
        <v>38</v>
      </c>
      <c r="J20" s="30" t="s">
        <v>40</v>
      </c>
      <c r="K20" s="30" t="s">
        <v>39</v>
      </c>
      <c r="L20" s="31" t="s">
        <v>31</v>
      </c>
    </row>
    <row r="21" spans="1:12" ht="15" thickBot="1" x14ac:dyDescent="0.35">
      <c r="A21" s="40"/>
      <c r="B21" s="41"/>
      <c r="C21" s="42"/>
      <c r="D21" s="12">
        <f>'Information Sheet'!J11</f>
        <v>5</v>
      </c>
      <c r="E21" s="13">
        <f ca="1">'Information Sheet'!J12</f>
        <v>4</v>
      </c>
      <c r="F21" s="13">
        <f ca="1">Dashboard!E21+1</f>
        <v>5</v>
      </c>
      <c r="G21" s="14">
        <f ca="1">'Information Sheet'!J8</f>
        <v>46266</v>
      </c>
      <c r="H21" s="13">
        <f ca="1">_xlfn.DAYS('Information Sheet'!J7,'Information Sheet'!J6)</f>
        <v>288</v>
      </c>
      <c r="I21" s="21">
        <f>'Repayment Schedule'!H6</f>
        <v>200365.16365346927</v>
      </c>
      <c r="J21" s="21">
        <f ca="1">-PPMT('Information Sheet'!D8/'Information Sheet'!E10,Dashboard!F21,'Information Sheet'!D9*'Information Sheet'!E10,'Information Sheet'!J9)</f>
        <v>185523.2996791382</v>
      </c>
      <c r="K21" s="21">
        <f ca="1">-IPMT('Information Sheet'!D8/'Information Sheet'!E10,Dashboard!F21,'Information Sheet'!D9*'Information Sheet'!E10,'Information Sheet'!J9)</f>
        <v>14841.863974331056</v>
      </c>
      <c r="L21" s="22">
        <f ca="1">VLOOKUP(F21,'Repayment Schedule'!C5:H212,3,0)</f>
        <v>136365.16365346932</v>
      </c>
    </row>
  </sheetData>
  <mergeCells count="2">
    <mergeCell ref="F1:H2"/>
    <mergeCell ref="A20:C21"/>
  </mergeCells>
  <conditionalFormatting sqref="N1">
    <cfRule type="iconSet" priority="1">
      <iconSet iconSet="3Flags" showValue="0" reverse="1">
        <cfvo type="percent" val="0"/>
        <cfvo type="num" val="0"/>
        <cfvo type="num" val="0" gte="0"/>
      </iconSet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69B1D-ECB2-48E5-9E9D-EDDFF0EF975A}">
  <dimension ref="C3:AG15"/>
  <sheetViews>
    <sheetView zoomScale="88" workbookViewId="0"/>
  </sheetViews>
  <sheetFormatPr defaultRowHeight="14.4" x14ac:dyDescent="0.3"/>
  <cols>
    <col min="1" max="2" width="8.88671875" style="1"/>
    <col min="3" max="3" width="18" style="1" bestFit="1" customWidth="1"/>
    <col min="4" max="4" width="13.88671875" style="1" bestFit="1" customWidth="1"/>
    <col min="5" max="8" width="8.88671875" style="1"/>
    <col min="9" max="9" width="18.109375" style="1" customWidth="1"/>
    <col min="10" max="10" width="13.44140625" style="1" customWidth="1"/>
    <col min="11" max="31" width="8.88671875" style="1"/>
    <col min="32" max="32" width="13.77734375" style="1" customWidth="1"/>
    <col min="33" max="16384" width="8.88671875" style="1"/>
  </cols>
  <sheetData>
    <row r="3" spans="3:33" ht="15" thickBot="1" x14ac:dyDescent="0.35"/>
    <row r="4" spans="3:33" ht="15" thickBot="1" x14ac:dyDescent="0.35">
      <c r="C4" s="43" t="s">
        <v>6</v>
      </c>
      <c r="D4" s="44"/>
      <c r="E4" s="44"/>
      <c r="F4" s="45"/>
      <c r="I4" s="46" t="s">
        <v>19</v>
      </c>
      <c r="J4" s="47"/>
      <c r="K4" s="48"/>
    </row>
    <row r="5" spans="3:33" x14ac:dyDescent="0.3">
      <c r="C5" s="23" t="s">
        <v>9</v>
      </c>
      <c r="D5" s="23" t="s">
        <v>7</v>
      </c>
      <c r="E5" s="23" t="s">
        <v>8</v>
      </c>
      <c r="F5" s="24"/>
      <c r="I5" s="24" t="s">
        <v>20</v>
      </c>
      <c r="J5" s="24" t="str">
        <f ca="1">IF(J6&lt;J7, "Active", "Unactive")</f>
        <v>Active</v>
      </c>
      <c r="K5" s="24"/>
      <c r="AE5" s="2" t="s">
        <v>0</v>
      </c>
      <c r="AF5" s="2">
        <v>1</v>
      </c>
      <c r="AG5" s="2">
        <v>12</v>
      </c>
    </row>
    <row r="6" spans="3:33" x14ac:dyDescent="0.3">
      <c r="C6" s="3" t="s">
        <v>10</v>
      </c>
      <c r="D6" s="7">
        <v>1000000</v>
      </c>
      <c r="E6" s="2"/>
      <c r="F6" s="2"/>
      <c r="I6" s="2" t="s">
        <v>21</v>
      </c>
      <c r="J6" s="5">
        <f ca="1">TODAY()</f>
        <v>45978</v>
      </c>
      <c r="K6" s="2"/>
      <c r="AE6" s="2" t="s">
        <v>1</v>
      </c>
      <c r="AF6" s="2">
        <v>2</v>
      </c>
      <c r="AG6" s="2">
        <v>6</v>
      </c>
    </row>
    <row r="7" spans="3:33" x14ac:dyDescent="0.3">
      <c r="C7" s="3" t="s">
        <v>11</v>
      </c>
      <c r="D7" s="4">
        <v>0.2</v>
      </c>
      <c r="E7" s="2"/>
      <c r="F7" s="2"/>
      <c r="I7" s="2" t="s">
        <v>26</v>
      </c>
      <c r="J7" s="5">
        <f>EDATE(D13,D9*12)</f>
        <v>46266</v>
      </c>
      <c r="K7" s="2"/>
      <c r="AE7" s="2" t="s">
        <v>2</v>
      </c>
      <c r="AF7" s="2">
        <v>4</v>
      </c>
      <c r="AG7" s="2">
        <v>3</v>
      </c>
    </row>
    <row r="8" spans="3:33" x14ac:dyDescent="0.3">
      <c r="C8" s="3" t="s">
        <v>15</v>
      </c>
      <c r="D8" s="4">
        <v>0.08</v>
      </c>
      <c r="E8" s="2"/>
      <c r="F8" s="2"/>
      <c r="I8" s="2" t="s">
        <v>22</v>
      </c>
      <c r="J8" s="5">
        <f ca="1">EDATE(D13,CEILING((J6-D13)/(365/E10),1)*(12/E10))</f>
        <v>46266</v>
      </c>
      <c r="K8" s="2"/>
      <c r="AE8" s="2" t="s">
        <v>3</v>
      </c>
      <c r="AF8" s="2">
        <v>12</v>
      </c>
      <c r="AG8" s="2">
        <v>1</v>
      </c>
    </row>
    <row r="9" spans="3:33" x14ac:dyDescent="0.3">
      <c r="C9" s="3" t="s">
        <v>16</v>
      </c>
      <c r="D9" s="3">
        <v>5</v>
      </c>
      <c r="E9" s="3" t="s">
        <v>18</v>
      </c>
      <c r="F9" s="2"/>
      <c r="I9" s="2" t="s">
        <v>23</v>
      </c>
      <c r="J9" s="6">
        <f>D6-J10</f>
        <v>800000</v>
      </c>
      <c r="K9" s="2"/>
    </row>
    <row r="10" spans="3:33" x14ac:dyDescent="0.3">
      <c r="C10" s="3" t="s">
        <v>13</v>
      </c>
      <c r="D10" s="2" t="s">
        <v>0</v>
      </c>
      <c r="E10" s="2">
        <f>VLOOKUP(D10,AE5:AG8,2,0)</f>
        <v>1</v>
      </c>
      <c r="F10" s="2">
        <f>VLOOKUP(D10,AE5:AG8,3,0)</f>
        <v>12</v>
      </c>
      <c r="I10" s="2" t="s">
        <v>11</v>
      </c>
      <c r="J10" s="6">
        <f>D6*D7</f>
        <v>200000</v>
      </c>
      <c r="K10" s="2"/>
      <c r="AE10" s="2" t="s">
        <v>23</v>
      </c>
      <c r="AF10" s="7">
        <f>'Information Sheet'!J9</f>
        <v>800000</v>
      </c>
    </row>
    <row r="11" spans="3:33" x14ac:dyDescent="0.3">
      <c r="C11" s="3" t="s">
        <v>14</v>
      </c>
      <c r="D11" s="2" t="s">
        <v>4</v>
      </c>
      <c r="E11" s="2">
        <f>VLOOKUP(D11,AE14:AF15,2,)</f>
        <v>0</v>
      </c>
      <c r="F11" s="2"/>
      <c r="I11" s="2" t="s">
        <v>24</v>
      </c>
      <c r="J11" s="2">
        <f>D9*E10</f>
        <v>5</v>
      </c>
      <c r="K11" s="2"/>
      <c r="AE11" s="2" t="s">
        <v>31</v>
      </c>
      <c r="AF11" s="26">
        <f ca="1">Dashboard!L21</f>
        <v>136365.16365346932</v>
      </c>
    </row>
    <row r="12" spans="3:33" x14ac:dyDescent="0.3">
      <c r="C12" s="3" t="s">
        <v>12</v>
      </c>
      <c r="D12" s="2"/>
      <c r="E12" s="2"/>
      <c r="F12" s="2"/>
      <c r="I12" s="2" t="s">
        <v>41</v>
      </c>
      <c r="J12" s="2">
        <f ca="1">INT((J6-D13)/(365/E10))</f>
        <v>4</v>
      </c>
      <c r="K12" s="2"/>
      <c r="N12" s="9"/>
    </row>
    <row r="13" spans="3:33" x14ac:dyDescent="0.3">
      <c r="C13" s="3" t="s">
        <v>17</v>
      </c>
      <c r="D13" s="5">
        <v>44440</v>
      </c>
      <c r="E13" s="2"/>
      <c r="F13" s="2"/>
      <c r="I13" s="2" t="s">
        <v>25</v>
      </c>
      <c r="J13" s="2"/>
      <c r="K13" s="2"/>
      <c r="N13" s="11"/>
    </row>
    <row r="14" spans="3:33" x14ac:dyDescent="0.3">
      <c r="N14" s="9"/>
      <c r="AE14" s="2" t="s">
        <v>4</v>
      </c>
      <c r="AF14" s="2">
        <v>0</v>
      </c>
    </row>
    <row r="15" spans="3:33" x14ac:dyDescent="0.3">
      <c r="N15" s="10"/>
      <c r="AE15" s="2" t="s">
        <v>5</v>
      </c>
      <c r="AF15" s="2">
        <v>1</v>
      </c>
    </row>
  </sheetData>
  <mergeCells count="2">
    <mergeCell ref="C4:F4"/>
    <mergeCell ref="I4:K4"/>
  </mergeCells>
  <dataValidations count="2">
    <dataValidation type="list" allowBlank="1" showInputMessage="1" showErrorMessage="1" sqref="D10" xr:uid="{54EA755B-A21C-469A-BAF7-0E2F509CBF3A}">
      <formula1>"Annual, Semi-Annual, Quarterly, Monthly"</formula1>
    </dataValidation>
    <dataValidation type="list" allowBlank="1" showInputMessage="1" showErrorMessage="1" sqref="D11" xr:uid="{5A36F9E0-5C2A-49A4-B5A7-0B8FCC18C408}">
      <formula1>"Arrear, Advance"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Spinner 1">
              <controlPr defaultSize="0" autoPict="0">
                <anchor moveWithCells="1" sizeWithCells="1">
                  <from>
                    <xdr:col>3</xdr:col>
                    <xdr:colOff>7620</xdr:colOff>
                    <xdr:row>8</xdr:row>
                    <xdr:rowOff>7620</xdr:rowOff>
                  </from>
                  <to>
                    <xdr:col>3</xdr:col>
                    <xdr:colOff>502920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BA24B-8D59-4F39-BF52-4CBB17FF95AF}">
  <dimension ref="C2:H158"/>
  <sheetViews>
    <sheetView workbookViewId="0"/>
  </sheetViews>
  <sheetFormatPr defaultRowHeight="14.4" x14ac:dyDescent="0.3"/>
  <cols>
    <col min="1" max="2" width="8.88671875" style="1"/>
    <col min="3" max="3" width="12.77734375" style="1" customWidth="1"/>
    <col min="4" max="4" width="9.88671875" style="1" bestFit="1" customWidth="1"/>
    <col min="5" max="5" width="14.21875" style="1" customWidth="1"/>
    <col min="6" max="6" width="12.77734375" style="1" customWidth="1"/>
    <col min="7" max="7" width="12.5546875" style="1" bestFit="1" customWidth="1"/>
    <col min="8" max="8" width="14.21875" style="1" customWidth="1"/>
    <col min="9" max="16384" width="8.88671875" style="1"/>
  </cols>
  <sheetData>
    <row r="2" spans="3:8" ht="15" thickBot="1" x14ac:dyDescent="0.35"/>
    <row r="3" spans="3:8" ht="21.6" thickBot="1" x14ac:dyDescent="0.45">
      <c r="C3" s="49" t="s">
        <v>33</v>
      </c>
      <c r="D3" s="50"/>
      <c r="E3" s="50"/>
      <c r="F3" s="50"/>
      <c r="G3" s="50"/>
      <c r="H3" s="51"/>
    </row>
    <row r="5" spans="3:8" ht="28.8" x14ac:dyDescent="0.3">
      <c r="C5" s="32" t="s">
        <v>29</v>
      </c>
      <c r="D5" s="32" t="s">
        <v>30</v>
      </c>
      <c r="E5" s="32" t="s">
        <v>31</v>
      </c>
      <c r="F5" s="32" t="s">
        <v>27</v>
      </c>
      <c r="G5" s="32" t="s">
        <v>28</v>
      </c>
      <c r="H5" s="32" t="s">
        <v>32</v>
      </c>
    </row>
    <row r="6" spans="3:8" x14ac:dyDescent="0.3">
      <c r="C6" s="17">
        <v>1</v>
      </c>
      <c r="D6" s="18">
        <f>IFERROR(EDATE('Information Sheet'!$D$13,'Information Sheet'!$F$10*'Repayment Schedule'!C6),"")</f>
        <v>44805</v>
      </c>
      <c r="E6" s="19">
        <f>'Information Sheet'!J9</f>
        <v>800000</v>
      </c>
      <c r="F6" s="19">
        <f>IFERROR(-IPMT('Information Sheet'!$D$8/'Information Sheet'!$E$10,'Repayment Schedule'!C6,'Information Sheet'!$D$9*'Information Sheet'!$E$10,'Information Sheet'!$J$9),"")</f>
        <v>64000</v>
      </c>
      <c r="G6" s="19">
        <f>IFERROR(-PPMT('Information Sheet'!$D$8/'Information Sheet'!$E$10,'Repayment Schedule'!C6,'Information Sheet'!$D$9*'Information Sheet'!$E$10,'Information Sheet'!$J$9),"")</f>
        <v>136365.16365346927</v>
      </c>
      <c r="H6" s="19">
        <f>IF(C6="","",-PMT('Information Sheet'!$D$8/'Information Sheet'!$E$10,'Information Sheet'!$D$9*'Information Sheet'!$E$10,'Information Sheet'!$J$9))</f>
        <v>200365.16365346927</v>
      </c>
    </row>
    <row r="7" spans="3:8" x14ac:dyDescent="0.3">
      <c r="C7" s="1">
        <f>IF(C6&lt;'Information Sheet'!$J$11,'Repayment Schedule'!C6+1,"")</f>
        <v>2</v>
      </c>
      <c r="D7" s="15">
        <f>IFERROR(EDATE('Information Sheet'!$D$13,'Information Sheet'!$F$10*'Repayment Schedule'!C7),"")</f>
        <v>45170</v>
      </c>
      <c r="E7" s="20">
        <f>IFERROR((E6-G7),"")</f>
        <v>652725.62325425318</v>
      </c>
      <c r="F7" s="20">
        <f>IFERROR(-IPMT('Information Sheet'!$D$8/'Information Sheet'!$E$10,'Repayment Schedule'!C7,'Information Sheet'!$D$9*'Information Sheet'!$E$10,'Information Sheet'!$J$9),"")</f>
        <v>53090.786907722446</v>
      </c>
      <c r="G7" s="20">
        <f>IFERROR(-PPMT('Information Sheet'!$D$8/'Information Sheet'!$E$10,'Repayment Schedule'!C7,'Information Sheet'!$D$9*'Information Sheet'!$E$10,'Information Sheet'!$J$9),"")</f>
        <v>147274.37674574682</v>
      </c>
      <c r="H7" s="20">
        <f>IF(C7="","",-PMT('Information Sheet'!$D$8/'Information Sheet'!$E$10,'Information Sheet'!$D$9*'Information Sheet'!$E$10,'Information Sheet'!$J$9))</f>
        <v>200365.16365346927</v>
      </c>
    </row>
    <row r="8" spans="3:8" x14ac:dyDescent="0.3">
      <c r="C8" s="1">
        <f>IF(C7&lt;'Information Sheet'!$J$11,'Repayment Schedule'!C7+1,"")</f>
        <v>3</v>
      </c>
      <c r="D8" s="15">
        <f>IFERROR(EDATE('Information Sheet'!$D$13,'Information Sheet'!$F$10*'Repayment Schedule'!C8),"")</f>
        <v>45536</v>
      </c>
      <c r="E8" s="20">
        <f t="shared" ref="E8:E71" si="0">IFERROR((E7-G8),"")</f>
        <v>493669.29636884661</v>
      </c>
      <c r="F8" s="20">
        <f>IFERROR(-IPMT('Information Sheet'!$D$8/'Information Sheet'!$E$10,'Repayment Schedule'!C8,'Information Sheet'!$D$9*'Information Sheet'!$E$10,'Information Sheet'!$J$9),"")</f>
        <v>41308.836768062713</v>
      </c>
      <c r="G8" s="20">
        <f>IFERROR(-PPMT('Information Sheet'!$D$8/'Information Sheet'!$E$10,'Repayment Schedule'!C8,'Information Sheet'!$D$9*'Information Sheet'!$E$10,'Information Sheet'!$J$9),"")</f>
        <v>159056.32688540657</v>
      </c>
      <c r="H8" s="20">
        <f>IF(C8="","",-PMT('Information Sheet'!$D$8/'Information Sheet'!$E$10,'Information Sheet'!$D$9*'Information Sheet'!$E$10,'Information Sheet'!$J$9))</f>
        <v>200365.16365346927</v>
      </c>
    </row>
    <row r="9" spans="3:8" x14ac:dyDescent="0.3">
      <c r="C9" s="1">
        <f>IF(C8&lt;'Information Sheet'!$J$11,'Repayment Schedule'!C8+1,"")</f>
        <v>4</v>
      </c>
      <c r="D9" s="15">
        <f>IFERROR(EDATE('Information Sheet'!$D$13,'Information Sheet'!$F$10*'Repayment Schedule'!C9),"")</f>
        <v>45901</v>
      </c>
      <c r="E9" s="20">
        <f t="shared" si="0"/>
        <v>321888.46333260753</v>
      </c>
      <c r="F9" s="20">
        <f>IFERROR(-IPMT('Information Sheet'!$D$8/'Information Sheet'!$E$10,'Repayment Schedule'!C9,'Information Sheet'!$D$9*'Information Sheet'!$E$10,'Information Sheet'!$J$9),"")</f>
        <v>28584.330617230185</v>
      </c>
      <c r="G9" s="20">
        <f>IFERROR(-PPMT('Information Sheet'!$D$8/'Information Sheet'!$E$10,'Repayment Schedule'!C9,'Information Sheet'!$D$9*'Information Sheet'!$E$10,'Information Sheet'!$J$9),"")</f>
        <v>171780.83303623908</v>
      </c>
      <c r="H9" s="20">
        <f>IF(C9="","",-PMT('Information Sheet'!$D$8/'Information Sheet'!$E$10,'Information Sheet'!$D$9*'Information Sheet'!$E$10,'Information Sheet'!$J$9))</f>
        <v>200365.16365346927</v>
      </c>
    </row>
    <row r="10" spans="3:8" x14ac:dyDescent="0.3">
      <c r="C10" s="1">
        <f>IF(C9&lt;'Information Sheet'!$J$11,'Repayment Schedule'!C9+1,"")</f>
        <v>5</v>
      </c>
      <c r="D10" s="15">
        <f>IFERROR(EDATE('Information Sheet'!$D$13,'Information Sheet'!$F$10*'Repayment Schedule'!C10),"")</f>
        <v>46266</v>
      </c>
      <c r="E10" s="20">
        <f t="shared" si="0"/>
        <v>136365.16365346932</v>
      </c>
      <c r="F10" s="20">
        <f>IFERROR(-IPMT('Information Sheet'!$D$8/'Information Sheet'!$E$10,'Repayment Schedule'!C10,'Information Sheet'!$D$9*'Information Sheet'!$E$10,'Information Sheet'!$J$9),"")</f>
        <v>14841.863974331056</v>
      </c>
      <c r="G10" s="20">
        <f>IFERROR(-PPMT('Information Sheet'!$D$8/'Information Sheet'!$E$10,'Repayment Schedule'!C10,'Information Sheet'!$D$9*'Information Sheet'!$E$10,'Information Sheet'!$J$9),"")</f>
        <v>185523.2996791382</v>
      </c>
      <c r="H10" s="20">
        <f>IF(C10="","",-PMT('Information Sheet'!$D$8/'Information Sheet'!$E$10,'Information Sheet'!$D$9*'Information Sheet'!$E$10,'Information Sheet'!$J$9))</f>
        <v>200365.16365346927</v>
      </c>
    </row>
    <row r="11" spans="3:8" x14ac:dyDescent="0.3">
      <c r="C11" s="1" t="str">
        <f>IF(C10&lt;'Information Sheet'!$J$11,'Repayment Schedule'!C10+1,"")</f>
        <v/>
      </c>
      <c r="D11" s="15" t="str">
        <f>IFERROR(EDATE('Information Sheet'!$D$13,'Information Sheet'!$F$10*'Repayment Schedule'!C11),"")</f>
        <v/>
      </c>
      <c r="E11" s="16" t="str">
        <f t="shared" si="0"/>
        <v/>
      </c>
      <c r="F11" s="16" t="str">
        <f>IFERROR(-IPMT('Information Sheet'!$D$8/'Information Sheet'!$E$10,'Repayment Schedule'!C11,'Information Sheet'!$D$9*'Information Sheet'!$E$10,'Information Sheet'!$J$9),"")</f>
        <v/>
      </c>
      <c r="G11" s="16" t="str">
        <f>IFERROR(-PPMT('Information Sheet'!$D$8/'Information Sheet'!$E$10,'Repayment Schedule'!C11,'Information Sheet'!$D$9*'Information Sheet'!$E$10,'Information Sheet'!$J$9),"")</f>
        <v/>
      </c>
      <c r="H11" s="16" t="str">
        <f>IF(C11="","",-PMT('Information Sheet'!$D$8/'Information Sheet'!$E$10,'Information Sheet'!$D$9*'Information Sheet'!$E$10,'Information Sheet'!$J$9))</f>
        <v/>
      </c>
    </row>
    <row r="12" spans="3:8" x14ac:dyDescent="0.3">
      <c r="C12" s="1" t="str">
        <f>IF(C11&lt;'Information Sheet'!$J$11,'Repayment Schedule'!C11+1,"")</f>
        <v/>
      </c>
      <c r="D12" s="15" t="str">
        <f>IFERROR(EDATE('Information Sheet'!$D$13,'Information Sheet'!$F$10*'Repayment Schedule'!C12),"")</f>
        <v/>
      </c>
      <c r="E12" s="16" t="str">
        <f t="shared" si="0"/>
        <v/>
      </c>
      <c r="F12" s="16" t="str">
        <f>IFERROR(-IPMT('Information Sheet'!$D$8/'Information Sheet'!$E$10,'Repayment Schedule'!C12,'Information Sheet'!$D$9*'Information Sheet'!$E$10,'Information Sheet'!$J$9),"")</f>
        <v/>
      </c>
      <c r="G12" s="16" t="str">
        <f>IFERROR(-PPMT('Information Sheet'!$D$8/'Information Sheet'!$E$10,'Repayment Schedule'!C12,'Information Sheet'!$D$9*'Information Sheet'!$E$10,'Information Sheet'!$J$9),"")</f>
        <v/>
      </c>
      <c r="H12" s="16" t="str">
        <f>IF(C12="","",-PMT('Information Sheet'!$D$8/'Information Sheet'!$E$10,'Information Sheet'!$D$9*'Information Sheet'!$E$10,'Information Sheet'!$J$9))</f>
        <v/>
      </c>
    </row>
    <row r="13" spans="3:8" x14ac:dyDescent="0.3">
      <c r="C13" s="1" t="str">
        <f>IF(C12&lt;'Information Sheet'!$J$11,'Repayment Schedule'!C12+1,"")</f>
        <v/>
      </c>
      <c r="D13" s="15" t="str">
        <f>IFERROR(EDATE('Information Sheet'!$D$13,'Information Sheet'!$F$10*'Repayment Schedule'!C13),"")</f>
        <v/>
      </c>
      <c r="E13" s="16" t="str">
        <f t="shared" si="0"/>
        <v/>
      </c>
      <c r="F13" s="16" t="str">
        <f>IFERROR(-IPMT('Information Sheet'!$D$8/'Information Sheet'!$E$10,'Repayment Schedule'!C13,'Information Sheet'!$D$9*'Information Sheet'!$E$10,'Information Sheet'!$J$9),"")</f>
        <v/>
      </c>
      <c r="G13" s="16" t="str">
        <f>IFERROR(-PPMT('Information Sheet'!$D$8/'Information Sheet'!$E$10,'Repayment Schedule'!C13,'Information Sheet'!$D$9*'Information Sheet'!$E$10,'Information Sheet'!$J$9),"")</f>
        <v/>
      </c>
      <c r="H13" s="16" t="str">
        <f>IF(C13="","",-PMT('Information Sheet'!$D$8/'Information Sheet'!$E$10,'Information Sheet'!$D$9*'Information Sheet'!$E$10,'Information Sheet'!$J$9))</f>
        <v/>
      </c>
    </row>
    <row r="14" spans="3:8" x14ac:dyDescent="0.3">
      <c r="C14" s="1" t="str">
        <f>IF(C13&lt;'Information Sheet'!$J$11,'Repayment Schedule'!C13+1,"")</f>
        <v/>
      </c>
      <c r="D14" s="15" t="str">
        <f>IFERROR(EDATE('Information Sheet'!$D$13,'Information Sheet'!$F$10*'Repayment Schedule'!C14),"")</f>
        <v/>
      </c>
      <c r="E14" s="16" t="str">
        <f t="shared" si="0"/>
        <v/>
      </c>
      <c r="F14" s="16" t="str">
        <f>IFERROR(-IPMT('Information Sheet'!$D$8/'Information Sheet'!$E$10,'Repayment Schedule'!C14,'Information Sheet'!$D$9*'Information Sheet'!$E$10,'Information Sheet'!$J$9),"")</f>
        <v/>
      </c>
      <c r="G14" s="16" t="str">
        <f>IFERROR(-PPMT('Information Sheet'!$D$8/'Information Sheet'!$E$10,'Repayment Schedule'!C14,'Information Sheet'!$D$9*'Information Sheet'!$E$10,'Information Sheet'!$J$9),"")</f>
        <v/>
      </c>
      <c r="H14" s="16" t="str">
        <f>IF(C14="","",-PMT('Information Sheet'!$D$8/'Information Sheet'!$E$10,'Information Sheet'!$D$9*'Information Sheet'!$E$10,'Information Sheet'!$J$9))</f>
        <v/>
      </c>
    </row>
    <row r="15" spans="3:8" x14ac:dyDescent="0.3">
      <c r="C15" s="1" t="str">
        <f>IF(C14&lt;'Information Sheet'!$J$11,'Repayment Schedule'!C14+1,"")</f>
        <v/>
      </c>
      <c r="D15" s="15" t="str">
        <f>IFERROR(EDATE('Information Sheet'!$D$13,'Information Sheet'!$F$10*'Repayment Schedule'!C15),"")</f>
        <v/>
      </c>
      <c r="E15" s="16" t="str">
        <f t="shared" si="0"/>
        <v/>
      </c>
      <c r="F15" s="16" t="str">
        <f>IFERROR(-IPMT('Information Sheet'!$D$8/'Information Sheet'!$E$10,'Repayment Schedule'!C15,'Information Sheet'!$D$9*'Information Sheet'!$E$10,'Information Sheet'!$J$9),"")</f>
        <v/>
      </c>
      <c r="G15" s="16" t="str">
        <f>IFERROR(-PPMT('Information Sheet'!$D$8/'Information Sheet'!$E$10,'Repayment Schedule'!C15,'Information Sheet'!$D$9*'Information Sheet'!$E$10,'Information Sheet'!$J$9),"")</f>
        <v/>
      </c>
      <c r="H15" s="16" t="str">
        <f>IF(C15="","",-PMT('Information Sheet'!$D$8/'Information Sheet'!$E$10,'Information Sheet'!$D$9*'Information Sheet'!$E$10,'Information Sheet'!$J$9))</f>
        <v/>
      </c>
    </row>
    <row r="16" spans="3:8" x14ac:dyDescent="0.3">
      <c r="C16" s="1" t="str">
        <f>IF(C15&lt;'Information Sheet'!$J$11,'Repayment Schedule'!C15+1,"")</f>
        <v/>
      </c>
      <c r="D16" s="15" t="str">
        <f>IFERROR(EDATE('Information Sheet'!$D$13,'Information Sheet'!$F$10*'Repayment Schedule'!C16),"")</f>
        <v/>
      </c>
      <c r="E16" s="16" t="str">
        <f t="shared" si="0"/>
        <v/>
      </c>
      <c r="F16" s="16" t="str">
        <f>IFERROR(-IPMT('Information Sheet'!$D$8/'Information Sheet'!$E$10,'Repayment Schedule'!C16,'Information Sheet'!$D$9*'Information Sheet'!$E$10,'Information Sheet'!$J$9),"")</f>
        <v/>
      </c>
      <c r="G16" s="16" t="str">
        <f>IFERROR(-PPMT('Information Sheet'!$D$8/'Information Sheet'!$E$10,'Repayment Schedule'!C16,'Information Sheet'!$D$9*'Information Sheet'!$E$10,'Information Sheet'!$J$9),"")</f>
        <v/>
      </c>
      <c r="H16" s="16" t="str">
        <f>IF(C16="","",-PMT('Information Sheet'!$D$8/'Information Sheet'!$E$10,'Information Sheet'!$D$9*'Information Sheet'!$E$10,'Information Sheet'!$J$9))</f>
        <v/>
      </c>
    </row>
    <row r="17" spans="3:8" x14ac:dyDescent="0.3">
      <c r="C17" s="1" t="str">
        <f>IF(C16&lt;'Information Sheet'!$J$11,'Repayment Schedule'!C16+1,"")</f>
        <v/>
      </c>
      <c r="D17" s="15" t="str">
        <f>IFERROR(EDATE('Information Sheet'!$D$13,'Information Sheet'!$F$10*'Repayment Schedule'!C17),"")</f>
        <v/>
      </c>
      <c r="E17" s="16" t="str">
        <f t="shared" si="0"/>
        <v/>
      </c>
      <c r="F17" s="16" t="str">
        <f>IFERROR(-IPMT('Information Sheet'!$D$8/'Information Sheet'!$E$10,'Repayment Schedule'!C17,'Information Sheet'!$D$9*'Information Sheet'!$E$10,'Information Sheet'!$J$9),"")</f>
        <v/>
      </c>
      <c r="G17" s="16" t="str">
        <f>IFERROR(-PPMT('Information Sheet'!$D$8/'Information Sheet'!$E$10,'Repayment Schedule'!C17,'Information Sheet'!$D$9*'Information Sheet'!$E$10,'Information Sheet'!$J$9),"")</f>
        <v/>
      </c>
      <c r="H17" s="16" t="str">
        <f>IF(C17="","",-PMT('Information Sheet'!$D$8/'Information Sheet'!$E$10,'Information Sheet'!$D$9*'Information Sheet'!$E$10,'Information Sheet'!$J$9))</f>
        <v/>
      </c>
    </row>
    <row r="18" spans="3:8" x14ac:dyDescent="0.3">
      <c r="C18" s="1" t="str">
        <f>IF(C17&lt;'Information Sheet'!$J$11,'Repayment Schedule'!C17+1,"")</f>
        <v/>
      </c>
      <c r="D18" s="15" t="str">
        <f>IFERROR(EDATE('Information Sheet'!$D$13,'Information Sheet'!$F$10*'Repayment Schedule'!C18),"")</f>
        <v/>
      </c>
      <c r="E18" s="16" t="str">
        <f t="shared" si="0"/>
        <v/>
      </c>
      <c r="F18" s="16" t="str">
        <f>IFERROR(-IPMT('Information Sheet'!$D$8/'Information Sheet'!$E$10,'Repayment Schedule'!C18,'Information Sheet'!$D$9*'Information Sheet'!$E$10,'Information Sheet'!$J$9),"")</f>
        <v/>
      </c>
      <c r="G18" s="16" t="str">
        <f>IFERROR(-PPMT('Information Sheet'!$D$8/'Information Sheet'!$E$10,'Repayment Schedule'!C18,'Information Sheet'!$D$9*'Information Sheet'!$E$10,'Information Sheet'!$J$9),"")</f>
        <v/>
      </c>
      <c r="H18" s="16" t="str">
        <f>IF(C18="","",-PMT('Information Sheet'!$D$8/'Information Sheet'!$E$10,'Information Sheet'!$D$9*'Information Sheet'!$E$10,'Information Sheet'!$J$9))</f>
        <v/>
      </c>
    </row>
    <row r="19" spans="3:8" x14ac:dyDescent="0.3">
      <c r="C19" s="1" t="str">
        <f>IF(C18&lt;'Information Sheet'!$J$11,'Repayment Schedule'!C18+1,"")</f>
        <v/>
      </c>
      <c r="D19" s="15" t="str">
        <f>IFERROR(EDATE('Information Sheet'!$D$13,'Information Sheet'!$F$10*'Repayment Schedule'!C19),"")</f>
        <v/>
      </c>
      <c r="E19" s="16" t="str">
        <f t="shared" si="0"/>
        <v/>
      </c>
      <c r="F19" s="16" t="str">
        <f>IFERROR(-IPMT('Information Sheet'!$D$8/'Information Sheet'!$E$10,'Repayment Schedule'!C19,'Information Sheet'!$D$9*'Information Sheet'!$E$10,'Information Sheet'!$J$9),"")</f>
        <v/>
      </c>
      <c r="G19" s="16" t="str">
        <f>IFERROR(-PPMT('Information Sheet'!$D$8/'Information Sheet'!$E$10,'Repayment Schedule'!C19,'Information Sheet'!$D$9*'Information Sheet'!$E$10,'Information Sheet'!$J$9),"")</f>
        <v/>
      </c>
      <c r="H19" s="16" t="str">
        <f>IF(C19="","",-PMT('Information Sheet'!$D$8/'Information Sheet'!$E$10,'Information Sheet'!$D$9*'Information Sheet'!$E$10,'Information Sheet'!$J$9))</f>
        <v/>
      </c>
    </row>
    <row r="20" spans="3:8" x14ac:dyDescent="0.3">
      <c r="C20" s="1" t="str">
        <f>IF(C19&lt;'Information Sheet'!$J$11,'Repayment Schedule'!C19+1,"")</f>
        <v/>
      </c>
      <c r="D20" s="15" t="str">
        <f>IFERROR(EDATE('Information Sheet'!$D$13,'Information Sheet'!$F$10*'Repayment Schedule'!C20),"")</f>
        <v/>
      </c>
      <c r="E20" s="16" t="str">
        <f t="shared" si="0"/>
        <v/>
      </c>
      <c r="F20" s="16" t="str">
        <f>IFERROR(-IPMT('Information Sheet'!$D$8/'Information Sheet'!$E$10,'Repayment Schedule'!C20,'Information Sheet'!$D$9*'Information Sheet'!$E$10,'Information Sheet'!$J$9),"")</f>
        <v/>
      </c>
      <c r="G20" s="16" t="str">
        <f>IFERROR(-PPMT('Information Sheet'!$D$8/'Information Sheet'!$E$10,'Repayment Schedule'!C20,'Information Sheet'!$D$9*'Information Sheet'!$E$10,'Information Sheet'!$J$9),"")</f>
        <v/>
      </c>
      <c r="H20" s="16" t="str">
        <f>IF(C20="","",-PMT('Information Sheet'!$D$8/'Information Sheet'!$E$10,'Information Sheet'!$D$9*'Information Sheet'!$E$10,'Information Sheet'!$J$9))</f>
        <v/>
      </c>
    </row>
    <row r="21" spans="3:8" x14ac:dyDescent="0.3">
      <c r="C21" s="1" t="str">
        <f>IF(C20&lt;'Information Sheet'!$J$11,'Repayment Schedule'!C20+1,"")</f>
        <v/>
      </c>
      <c r="D21" s="15" t="str">
        <f>IFERROR(EDATE('Information Sheet'!$D$13,'Information Sheet'!$F$10*'Repayment Schedule'!C21),"")</f>
        <v/>
      </c>
      <c r="E21" s="16" t="str">
        <f t="shared" si="0"/>
        <v/>
      </c>
      <c r="F21" s="16" t="str">
        <f>IFERROR(-IPMT('Information Sheet'!$D$8/'Information Sheet'!$E$10,'Repayment Schedule'!C21,'Information Sheet'!$D$9*'Information Sheet'!$E$10,'Information Sheet'!$J$9),"")</f>
        <v/>
      </c>
      <c r="G21" s="16" t="str">
        <f>IFERROR(-PPMT('Information Sheet'!$D$8/'Information Sheet'!$E$10,'Repayment Schedule'!C21,'Information Sheet'!$D$9*'Information Sheet'!$E$10,'Information Sheet'!$J$9),"")</f>
        <v/>
      </c>
      <c r="H21" s="16" t="str">
        <f>IF(C21="","",-PMT('Information Sheet'!$D$8/'Information Sheet'!$E$10,'Information Sheet'!$D$9*'Information Sheet'!$E$10,'Information Sheet'!$J$9))</f>
        <v/>
      </c>
    </row>
    <row r="22" spans="3:8" x14ac:dyDescent="0.3">
      <c r="C22" s="1" t="str">
        <f>IF(C21&lt;'Information Sheet'!$J$11,'Repayment Schedule'!C21+1,"")</f>
        <v/>
      </c>
      <c r="D22" s="15" t="str">
        <f>IFERROR(EDATE('Information Sheet'!$D$13,'Information Sheet'!$F$10*'Repayment Schedule'!C22),"")</f>
        <v/>
      </c>
      <c r="E22" s="16" t="str">
        <f t="shared" si="0"/>
        <v/>
      </c>
      <c r="F22" s="16" t="str">
        <f>IFERROR(-IPMT('Information Sheet'!$D$8/'Information Sheet'!$E$10,'Repayment Schedule'!C22,'Information Sheet'!$D$9*'Information Sheet'!$E$10,'Information Sheet'!$J$9),"")</f>
        <v/>
      </c>
      <c r="G22" s="16" t="str">
        <f>IFERROR(-PPMT('Information Sheet'!$D$8/'Information Sheet'!$E$10,'Repayment Schedule'!C22,'Information Sheet'!$D$9*'Information Sheet'!$E$10,'Information Sheet'!$J$9),"")</f>
        <v/>
      </c>
      <c r="H22" s="16" t="str">
        <f>IF(C22="","",-PMT('Information Sheet'!$D$8/'Information Sheet'!$E$10,'Information Sheet'!$D$9*'Information Sheet'!$E$10,'Information Sheet'!$J$9))</f>
        <v/>
      </c>
    </row>
    <row r="23" spans="3:8" x14ac:dyDescent="0.3">
      <c r="C23" s="1" t="str">
        <f>IF(C22&lt;'Information Sheet'!$J$11,'Repayment Schedule'!C22+1,"")</f>
        <v/>
      </c>
      <c r="D23" s="15" t="str">
        <f>IFERROR(EDATE('Information Sheet'!$D$13,'Information Sheet'!$F$10*'Repayment Schedule'!C23),"")</f>
        <v/>
      </c>
      <c r="E23" s="16" t="str">
        <f t="shared" si="0"/>
        <v/>
      </c>
      <c r="F23" s="16" t="str">
        <f>IFERROR(-IPMT('Information Sheet'!$D$8/'Information Sheet'!$E$10,'Repayment Schedule'!C23,'Information Sheet'!$D$9*'Information Sheet'!$E$10,'Information Sheet'!$J$9),"")</f>
        <v/>
      </c>
      <c r="G23" s="16" t="str">
        <f>IFERROR(-PPMT('Information Sheet'!$D$8/'Information Sheet'!$E$10,'Repayment Schedule'!C23,'Information Sheet'!$D$9*'Information Sheet'!$E$10,'Information Sheet'!$J$9),"")</f>
        <v/>
      </c>
      <c r="H23" s="16" t="str">
        <f>IF(C23="","",-PMT('Information Sheet'!$D$8/'Information Sheet'!$E$10,'Information Sheet'!$D$9*'Information Sheet'!$E$10,'Information Sheet'!$J$9))</f>
        <v/>
      </c>
    </row>
    <row r="24" spans="3:8" x14ac:dyDescent="0.3">
      <c r="C24" s="1" t="str">
        <f>IF(C23&lt;'Information Sheet'!$J$11,'Repayment Schedule'!C23+1,"")</f>
        <v/>
      </c>
      <c r="D24" s="15" t="str">
        <f>IFERROR(EDATE('Information Sheet'!$D$13,'Information Sheet'!$F$10*'Repayment Schedule'!C24),"")</f>
        <v/>
      </c>
      <c r="E24" s="16" t="str">
        <f t="shared" si="0"/>
        <v/>
      </c>
      <c r="F24" s="16" t="str">
        <f>IFERROR(-IPMT('Information Sheet'!$D$8/'Information Sheet'!$E$10,'Repayment Schedule'!C24,'Information Sheet'!$D$9*'Information Sheet'!$E$10,'Information Sheet'!$J$9),"")</f>
        <v/>
      </c>
      <c r="G24" s="16" t="str">
        <f>IFERROR(-PPMT('Information Sheet'!$D$8/'Information Sheet'!$E$10,'Repayment Schedule'!C24,'Information Sheet'!$D$9*'Information Sheet'!$E$10,'Information Sheet'!$J$9),"")</f>
        <v/>
      </c>
      <c r="H24" s="16" t="str">
        <f>IF(C24="","",-PMT('Information Sheet'!$D$8/'Information Sheet'!$E$10,'Information Sheet'!$D$9*'Information Sheet'!$E$10,'Information Sheet'!$J$9))</f>
        <v/>
      </c>
    </row>
    <row r="25" spans="3:8" x14ac:dyDescent="0.3">
      <c r="C25" s="1" t="str">
        <f>IF(C24&lt;'Information Sheet'!$J$11,'Repayment Schedule'!C24+1,"")</f>
        <v/>
      </c>
      <c r="D25" s="15" t="str">
        <f>IFERROR(EDATE('Information Sheet'!$D$13,'Information Sheet'!$F$10*'Repayment Schedule'!C25),"")</f>
        <v/>
      </c>
      <c r="E25" s="16" t="str">
        <f t="shared" si="0"/>
        <v/>
      </c>
      <c r="F25" s="16" t="str">
        <f>IFERROR(-IPMT('Information Sheet'!$D$8/'Information Sheet'!$E$10,'Repayment Schedule'!C25,'Information Sheet'!$D$9*'Information Sheet'!$E$10,'Information Sheet'!$J$9),"")</f>
        <v/>
      </c>
      <c r="G25" s="16" t="str">
        <f>IFERROR(-PPMT('Information Sheet'!$D$8/'Information Sheet'!$E$10,'Repayment Schedule'!C25,'Information Sheet'!$D$9*'Information Sheet'!$E$10,'Information Sheet'!$J$9),"")</f>
        <v/>
      </c>
      <c r="H25" s="16" t="str">
        <f>IF(C25="","",-PMT('Information Sheet'!$D$8/'Information Sheet'!$E$10,'Information Sheet'!$D$9*'Information Sheet'!$E$10,'Information Sheet'!$J$9))</f>
        <v/>
      </c>
    </row>
    <row r="26" spans="3:8" x14ac:dyDescent="0.3">
      <c r="C26" s="1" t="str">
        <f>IF(C25&lt;'Information Sheet'!$J$11,'Repayment Schedule'!C25+1,"")</f>
        <v/>
      </c>
      <c r="D26" s="15" t="str">
        <f>IFERROR(EDATE('Information Sheet'!$D$13,'Information Sheet'!$F$10*'Repayment Schedule'!C26),"")</f>
        <v/>
      </c>
      <c r="E26" s="16" t="str">
        <f t="shared" si="0"/>
        <v/>
      </c>
      <c r="F26" s="16" t="str">
        <f>IFERROR(-IPMT('Information Sheet'!$D$8/'Information Sheet'!$E$10,'Repayment Schedule'!C26,'Information Sheet'!$D$9*'Information Sheet'!$E$10,'Information Sheet'!$J$9),"")</f>
        <v/>
      </c>
      <c r="G26" s="16" t="str">
        <f>IFERROR(-PPMT('Information Sheet'!$D$8/'Information Sheet'!$E$10,'Repayment Schedule'!C26,'Information Sheet'!$D$9*'Information Sheet'!$E$10,'Information Sheet'!$J$9),"")</f>
        <v/>
      </c>
      <c r="H26" s="16" t="str">
        <f>IF(C26="","",-PMT('Information Sheet'!$D$8/'Information Sheet'!$E$10,'Information Sheet'!$D$9*'Information Sheet'!$E$10,'Information Sheet'!$J$9))</f>
        <v/>
      </c>
    </row>
    <row r="27" spans="3:8" x14ac:dyDescent="0.3">
      <c r="C27" s="1" t="str">
        <f>IF(C26&lt;'Information Sheet'!$J$11,'Repayment Schedule'!C26+1,"")</f>
        <v/>
      </c>
      <c r="D27" s="15" t="str">
        <f>IFERROR(EDATE('Information Sheet'!$D$13,'Information Sheet'!$F$10*'Repayment Schedule'!C27),"")</f>
        <v/>
      </c>
      <c r="E27" s="16" t="str">
        <f t="shared" si="0"/>
        <v/>
      </c>
      <c r="F27" s="16" t="str">
        <f>IFERROR(-IPMT('Information Sheet'!$D$8/'Information Sheet'!$E$10,'Repayment Schedule'!C27,'Information Sheet'!$D$9*'Information Sheet'!$E$10,'Information Sheet'!$J$9),"")</f>
        <v/>
      </c>
      <c r="G27" s="16" t="str">
        <f>IFERROR(-PPMT('Information Sheet'!$D$8/'Information Sheet'!$E$10,'Repayment Schedule'!C27,'Information Sheet'!$D$9*'Information Sheet'!$E$10,'Information Sheet'!$J$9),"")</f>
        <v/>
      </c>
      <c r="H27" s="16" t="str">
        <f>IF(C27="","",-PMT('Information Sheet'!$D$8/'Information Sheet'!$E$10,'Information Sheet'!$D$9*'Information Sheet'!$E$10,'Information Sheet'!$J$9))</f>
        <v/>
      </c>
    </row>
    <row r="28" spans="3:8" x14ac:dyDescent="0.3">
      <c r="C28" s="1" t="str">
        <f>IF(C27&lt;'Information Sheet'!$J$11,'Repayment Schedule'!C27+1,"")</f>
        <v/>
      </c>
      <c r="D28" s="15" t="str">
        <f>IFERROR(EDATE('Information Sheet'!$D$13,'Information Sheet'!$F$10*'Repayment Schedule'!C28),"")</f>
        <v/>
      </c>
      <c r="E28" s="16" t="str">
        <f t="shared" si="0"/>
        <v/>
      </c>
      <c r="F28" s="16" t="str">
        <f>IFERROR(-IPMT('Information Sheet'!$D$8/'Information Sheet'!$E$10,'Repayment Schedule'!C28,'Information Sheet'!$D$9*'Information Sheet'!$E$10,'Information Sheet'!$J$9),"")</f>
        <v/>
      </c>
      <c r="G28" s="16" t="str">
        <f>IFERROR(-PPMT('Information Sheet'!$D$8/'Information Sheet'!$E$10,'Repayment Schedule'!C28,'Information Sheet'!$D$9*'Information Sheet'!$E$10,'Information Sheet'!$J$9),"")</f>
        <v/>
      </c>
      <c r="H28" s="16" t="str">
        <f>IF(C28="","",-PMT('Information Sheet'!$D$8/'Information Sheet'!$E$10,'Information Sheet'!$D$9*'Information Sheet'!$E$10,'Information Sheet'!$J$9))</f>
        <v/>
      </c>
    </row>
    <row r="29" spans="3:8" x14ac:dyDescent="0.3">
      <c r="C29" s="1" t="str">
        <f>IF(C28&lt;'Information Sheet'!$J$11,'Repayment Schedule'!C28+1,"")</f>
        <v/>
      </c>
      <c r="D29" s="15" t="str">
        <f>IFERROR(EDATE('Information Sheet'!$D$13,'Information Sheet'!$F$10*'Repayment Schedule'!C29),"")</f>
        <v/>
      </c>
      <c r="E29" s="16" t="str">
        <f t="shared" si="0"/>
        <v/>
      </c>
      <c r="F29" s="16" t="str">
        <f>IFERROR(-IPMT('Information Sheet'!$D$8/'Information Sheet'!$E$10,'Repayment Schedule'!C29,'Information Sheet'!$D$9*'Information Sheet'!$E$10,'Information Sheet'!$J$9),"")</f>
        <v/>
      </c>
      <c r="G29" s="16" t="str">
        <f>IFERROR(-PPMT('Information Sheet'!$D$8/'Information Sheet'!$E$10,'Repayment Schedule'!C29,'Information Sheet'!$D$9*'Information Sheet'!$E$10,'Information Sheet'!$J$9),"")</f>
        <v/>
      </c>
      <c r="H29" s="16" t="str">
        <f>IF(C29="","",-PMT('Information Sheet'!$D$8/'Information Sheet'!$E$10,'Information Sheet'!$D$9*'Information Sheet'!$E$10,'Information Sheet'!$J$9))</f>
        <v/>
      </c>
    </row>
    <row r="30" spans="3:8" x14ac:dyDescent="0.3">
      <c r="C30" s="1" t="str">
        <f>IF(C29&lt;'Information Sheet'!$J$11,'Repayment Schedule'!C29+1,"")</f>
        <v/>
      </c>
      <c r="D30" s="15" t="str">
        <f>IFERROR(EDATE('Information Sheet'!$D$13,'Information Sheet'!$F$10*'Repayment Schedule'!C30),"")</f>
        <v/>
      </c>
      <c r="E30" s="16" t="str">
        <f t="shared" si="0"/>
        <v/>
      </c>
      <c r="F30" s="16" t="str">
        <f>IFERROR(-IPMT('Information Sheet'!$D$8/'Information Sheet'!$E$10,'Repayment Schedule'!C30,'Information Sheet'!$D$9*'Information Sheet'!$E$10,'Information Sheet'!$J$9),"")</f>
        <v/>
      </c>
      <c r="G30" s="16" t="str">
        <f>IFERROR(-PPMT('Information Sheet'!$D$8/'Information Sheet'!$E$10,'Repayment Schedule'!C30,'Information Sheet'!$D$9*'Information Sheet'!$E$10,'Information Sheet'!$J$9),"")</f>
        <v/>
      </c>
      <c r="H30" s="16" t="str">
        <f>IF(C30="","",-PMT('Information Sheet'!$D$8/'Information Sheet'!$E$10,'Information Sheet'!$D$9*'Information Sheet'!$E$10,'Information Sheet'!$J$9))</f>
        <v/>
      </c>
    </row>
    <row r="31" spans="3:8" x14ac:dyDescent="0.3">
      <c r="C31" s="1" t="str">
        <f>IF(C30&lt;'Information Sheet'!$J$11,'Repayment Schedule'!C30+1,"")</f>
        <v/>
      </c>
      <c r="D31" s="15" t="str">
        <f>IFERROR(EDATE('Information Sheet'!$D$13,'Information Sheet'!$F$10*'Repayment Schedule'!C31),"")</f>
        <v/>
      </c>
      <c r="E31" s="16" t="str">
        <f t="shared" si="0"/>
        <v/>
      </c>
      <c r="F31" s="16" t="str">
        <f>IFERROR(-IPMT('Information Sheet'!$D$8/'Information Sheet'!$E$10,'Repayment Schedule'!C31,'Information Sheet'!$D$9*'Information Sheet'!$E$10,'Information Sheet'!$J$9),"")</f>
        <v/>
      </c>
      <c r="G31" s="16" t="str">
        <f>IFERROR(-PPMT('Information Sheet'!$D$8/'Information Sheet'!$E$10,'Repayment Schedule'!C31,'Information Sheet'!$D$9*'Information Sheet'!$E$10,'Information Sheet'!$J$9),"")</f>
        <v/>
      </c>
      <c r="H31" s="16" t="str">
        <f>IF(C31="","",-PMT('Information Sheet'!$D$8/'Information Sheet'!$E$10,'Information Sheet'!$D$9*'Information Sheet'!$E$10,'Information Sheet'!$J$9))</f>
        <v/>
      </c>
    </row>
    <row r="32" spans="3:8" x14ac:dyDescent="0.3">
      <c r="C32" s="1" t="str">
        <f>IF(C31&lt;'Information Sheet'!$J$11,'Repayment Schedule'!C31+1,"")</f>
        <v/>
      </c>
      <c r="D32" s="15" t="str">
        <f>IFERROR(EDATE('Information Sheet'!$D$13,'Information Sheet'!$F$10*'Repayment Schedule'!C32),"")</f>
        <v/>
      </c>
      <c r="E32" s="16" t="str">
        <f t="shared" si="0"/>
        <v/>
      </c>
      <c r="F32" s="16" t="str">
        <f>IFERROR(-IPMT('Information Sheet'!$D$8/'Information Sheet'!$E$10,'Repayment Schedule'!C32,'Information Sheet'!$D$9*'Information Sheet'!$E$10,'Information Sheet'!$J$9),"")</f>
        <v/>
      </c>
      <c r="G32" s="16" t="str">
        <f>IFERROR(-PPMT('Information Sheet'!$D$8/'Information Sheet'!$E$10,'Repayment Schedule'!C32,'Information Sheet'!$D$9*'Information Sheet'!$E$10,'Information Sheet'!$J$9),"")</f>
        <v/>
      </c>
      <c r="H32" s="16" t="str">
        <f>IF(C32="","",-PMT('Information Sheet'!$D$8/'Information Sheet'!$E$10,'Information Sheet'!$D$9*'Information Sheet'!$E$10,'Information Sheet'!$J$9))</f>
        <v/>
      </c>
    </row>
    <row r="33" spans="3:8" x14ac:dyDescent="0.3">
      <c r="C33" s="1" t="str">
        <f>IF(C32&lt;'Information Sheet'!$J$11,'Repayment Schedule'!C32+1,"")</f>
        <v/>
      </c>
      <c r="D33" s="15" t="str">
        <f>IFERROR(EDATE('Information Sheet'!$D$13,'Information Sheet'!$F$10*'Repayment Schedule'!C33),"")</f>
        <v/>
      </c>
      <c r="E33" s="16" t="str">
        <f t="shared" si="0"/>
        <v/>
      </c>
      <c r="F33" s="16" t="str">
        <f>IFERROR(-IPMT('Information Sheet'!$D$8/'Information Sheet'!$E$10,'Repayment Schedule'!C33,'Information Sheet'!$D$9*'Information Sheet'!$E$10,'Information Sheet'!$J$9),"")</f>
        <v/>
      </c>
      <c r="G33" s="16" t="str">
        <f>IFERROR(-PPMT('Information Sheet'!$D$8/'Information Sheet'!$E$10,'Repayment Schedule'!C33,'Information Sheet'!$D$9*'Information Sheet'!$E$10,'Information Sheet'!$J$9),"")</f>
        <v/>
      </c>
      <c r="H33" s="16" t="str">
        <f>IF(C33="","",-PMT('Information Sheet'!$D$8/'Information Sheet'!$E$10,'Information Sheet'!$D$9*'Information Sheet'!$E$10,'Information Sheet'!$J$9))</f>
        <v/>
      </c>
    </row>
    <row r="34" spans="3:8" x14ac:dyDescent="0.3">
      <c r="C34" s="1" t="str">
        <f>IF(C33&lt;'Information Sheet'!$J$11,'Repayment Schedule'!C33+1,"")</f>
        <v/>
      </c>
      <c r="D34" s="15" t="str">
        <f>IFERROR(EDATE('Information Sheet'!$D$13,'Information Sheet'!$F$10*'Repayment Schedule'!C34),"")</f>
        <v/>
      </c>
      <c r="E34" s="16" t="str">
        <f t="shared" si="0"/>
        <v/>
      </c>
      <c r="F34" s="16" t="str">
        <f>IFERROR(-IPMT('Information Sheet'!$D$8/'Information Sheet'!$E$10,'Repayment Schedule'!C34,'Information Sheet'!$D$9*'Information Sheet'!$E$10,'Information Sheet'!$J$9),"")</f>
        <v/>
      </c>
      <c r="G34" s="16" t="str">
        <f>IFERROR(-PPMT('Information Sheet'!$D$8/'Information Sheet'!$E$10,'Repayment Schedule'!C34,'Information Sheet'!$D$9*'Information Sheet'!$E$10,'Information Sheet'!$J$9),"")</f>
        <v/>
      </c>
      <c r="H34" s="16" t="str">
        <f>IF(C34="","",-PMT('Information Sheet'!$D$8/'Information Sheet'!$E$10,'Information Sheet'!$D$9*'Information Sheet'!$E$10,'Information Sheet'!$J$9))</f>
        <v/>
      </c>
    </row>
    <row r="35" spans="3:8" x14ac:dyDescent="0.3">
      <c r="C35" s="1" t="str">
        <f>IF(C34&lt;'Information Sheet'!$J$11,'Repayment Schedule'!C34+1,"")</f>
        <v/>
      </c>
      <c r="D35" s="15" t="str">
        <f>IFERROR(EDATE('Information Sheet'!$D$13,'Information Sheet'!$F$10*'Repayment Schedule'!C35),"")</f>
        <v/>
      </c>
      <c r="E35" s="16" t="str">
        <f t="shared" si="0"/>
        <v/>
      </c>
      <c r="F35" s="16" t="str">
        <f>IFERROR(-IPMT('Information Sheet'!$D$8/'Information Sheet'!$E$10,'Repayment Schedule'!C35,'Information Sheet'!$D$9*'Information Sheet'!$E$10,'Information Sheet'!$J$9),"")</f>
        <v/>
      </c>
      <c r="G35" s="16" t="str">
        <f>IFERROR(-PPMT('Information Sheet'!$D$8/'Information Sheet'!$E$10,'Repayment Schedule'!C35,'Information Sheet'!$D$9*'Information Sheet'!$E$10,'Information Sheet'!$J$9),"")</f>
        <v/>
      </c>
      <c r="H35" s="16" t="str">
        <f>IF(C35="","",-PMT('Information Sheet'!$D$8/'Information Sheet'!$E$10,'Information Sheet'!$D$9*'Information Sheet'!$E$10,'Information Sheet'!$J$9))</f>
        <v/>
      </c>
    </row>
    <row r="36" spans="3:8" x14ac:dyDescent="0.3">
      <c r="C36" s="1" t="str">
        <f>IF(C35&lt;'Information Sheet'!$J$11,'Repayment Schedule'!C35+1,"")</f>
        <v/>
      </c>
      <c r="D36" s="15" t="str">
        <f>IFERROR(EDATE('Information Sheet'!$D$13,'Information Sheet'!$F$10*'Repayment Schedule'!C36),"")</f>
        <v/>
      </c>
      <c r="E36" s="16" t="str">
        <f t="shared" si="0"/>
        <v/>
      </c>
      <c r="F36" s="16" t="str">
        <f>IFERROR(-IPMT('Information Sheet'!$D$8/'Information Sheet'!$E$10,'Repayment Schedule'!C36,'Information Sheet'!$D$9*'Information Sheet'!$E$10,'Information Sheet'!$J$9),"")</f>
        <v/>
      </c>
      <c r="G36" s="16" t="str">
        <f>IFERROR(-PPMT('Information Sheet'!$D$8/'Information Sheet'!$E$10,'Repayment Schedule'!C36,'Information Sheet'!$D$9*'Information Sheet'!$E$10,'Information Sheet'!$J$9),"")</f>
        <v/>
      </c>
      <c r="H36" s="16" t="str">
        <f>IF(C36="","",-PMT('Information Sheet'!$D$8/'Information Sheet'!$E$10,'Information Sheet'!$D$9*'Information Sheet'!$E$10,'Information Sheet'!$J$9))</f>
        <v/>
      </c>
    </row>
    <row r="37" spans="3:8" x14ac:dyDescent="0.3">
      <c r="C37" s="1" t="str">
        <f>IF(C36&lt;'Information Sheet'!$J$11,'Repayment Schedule'!C36+1,"")</f>
        <v/>
      </c>
      <c r="D37" s="15" t="str">
        <f>IFERROR(EDATE('Information Sheet'!$D$13,'Information Sheet'!$F$10*'Repayment Schedule'!C37),"")</f>
        <v/>
      </c>
      <c r="E37" s="16" t="str">
        <f t="shared" si="0"/>
        <v/>
      </c>
      <c r="F37" s="16" t="str">
        <f>IFERROR(-IPMT('Information Sheet'!$D$8/'Information Sheet'!$E$10,'Repayment Schedule'!C37,'Information Sheet'!$D$9*'Information Sheet'!$E$10,'Information Sheet'!$J$9),"")</f>
        <v/>
      </c>
      <c r="G37" s="16" t="str">
        <f>IFERROR(-PPMT('Information Sheet'!$D$8/'Information Sheet'!$E$10,'Repayment Schedule'!C37,'Information Sheet'!$D$9*'Information Sheet'!$E$10,'Information Sheet'!$J$9),"")</f>
        <v/>
      </c>
      <c r="H37" s="16" t="str">
        <f>IF(C37="","",-PMT('Information Sheet'!$D$8/'Information Sheet'!$E$10,'Information Sheet'!$D$9*'Information Sheet'!$E$10,'Information Sheet'!$J$9))</f>
        <v/>
      </c>
    </row>
    <row r="38" spans="3:8" x14ac:dyDescent="0.3">
      <c r="C38" s="1" t="str">
        <f>IF(C37&lt;'Information Sheet'!$J$11,'Repayment Schedule'!C37+1,"")</f>
        <v/>
      </c>
      <c r="D38" s="15" t="str">
        <f>IFERROR(EDATE('Information Sheet'!$D$13,'Information Sheet'!$F$10*'Repayment Schedule'!C38),"")</f>
        <v/>
      </c>
      <c r="E38" s="16" t="str">
        <f t="shared" si="0"/>
        <v/>
      </c>
      <c r="F38" s="16" t="str">
        <f>IFERROR(-IPMT('Information Sheet'!$D$8/'Information Sheet'!$E$10,'Repayment Schedule'!C38,'Information Sheet'!$D$9*'Information Sheet'!$E$10,'Information Sheet'!$J$9),"")</f>
        <v/>
      </c>
      <c r="G38" s="16" t="str">
        <f>IFERROR(-PPMT('Information Sheet'!$D$8/'Information Sheet'!$E$10,'Repayment Schedule'!C38,'Information Sheet'!$D$9*'Information Sheet'!$E$10,'Information Sheet'!$J$9),"")</f>
        <v/>
      </c>
      <c r="H38" s="16" t="str">
        <f>IF(C38="","",-PMT('Information Sheet'!$D$8/'Information Sheet'!$E$10,'Information Sheet'!$D$9*'Information Sheet'!$E$10,'Information Sheet'!$J$9))</f>
        <v/>
      </c>
    </row>
    <row r="39" spans="3:8" x14ac:dyDescent="0.3">
      <c r="C39" s="1" t="str">
        <f>IF(C38&lt;'Information Sheet'!$J$11,'Repayment Schedule'!C38+1,"")</f>
        <v/>
      </c>
      <c r="D39" s="15" t="str">
        <f>IFERROR(EDATE('Information Sheet'!$D$13,'Information Sheet'!$F$10*'Repayment Schedule'!C39),"")</f>
        <v/>
      </c>
      <c r="E39" s="16" t="str">
        <f t="shared" si="0"/>
        <v/>
      </c>
      <c r="F39" s="16" t="str">
        <f>IFERROR(-IPMT('Information Sheet'!$D$8/'Information Sheet'!$E$10,'Repayment Schedule'!C39,'Information Sheet'!$D$9*'Information Sheet'!$E$10,'Information Sheet'!$J$9),"")</f>
        <v/>
      </c>
      <c r="G39" s="16" t="str">
        <f>IFERROR(-PPMT('Information Sheet'!$D$8/'Information Sheet'!$E$10,'Repayment Schedule'!C39,'Information Sheet'!$D$9*'Information Sheet'!$E$10,'Information Sheet'!$J$9),"")</f>
        <v/>
      </c>
      <c r="H39" s="16" t="str">
        <f>IF(C39="","",-PMT('Information Sheet'!$D$8/'Information Sheet'!$E$10,'Information Sheet'!$D$9*'Information Sheet'!$E$10,'Information Sheet'!$J$9))</f>
        <v/>
      </c>
    </row>
    <row r="40" spans="3:8" x14ac:dyDescent="0.3">
      <c r="C40" s="1" t="str">
        <f>IF(C39&lt;'Information Sheet'!$J$11,'Repayment Schedule'!C39+1,"")</f>
        <v/>
      </c>
      <c r="D40" s="15" t="str">
        <f>IFERROR(EDATE('Information Sheet'!$D$13,'Information Sheet'!$F$10*'Repayment Schedule'!C40),"")</f>
        <v/>
      </c>
      <c r="E40" s="16" t="str">
        <f t="shared" si="0"/>
        <v/>
      </c>
      <c r="F40" s="16" t="str">
        <f>IFERROR(-IPMT('Information Sheet'!$D$8/'Information Sheet'!$E$10,'Repayment Schedule'!C40,'Information Sheet'!$D$9*'Information Sheet'!$E$10,'Information Sheet'!$J$9),"")</f>
        <v/>
      </c>
      <c r="G40" s="16" t="str">
        <f>IFERROR(-PPMT('Information Sheet'!$D$8/'Information Sheet'!$E$10,'Repayment Schedule'!C40,'Information Sheet'!$D$9*'Information Sheet'!$E$10,'Information Sheet'!$J$9),"")</f>
        <v/>
      </c>
      <c r="H40" s="16" t="str">
        <f>IF(C40="","",-PMT('Information Sheet'!$D$8/'Information Sheet'!$E$10,'Information Sheet'!$D$9*'Information Sheet'!$E$10,'Information Sheet'!$J$9))</f>
        <v/>
      </c>
    </row>
    <row r="41" spans="3:8" x14ac:dyDescent="0.3">
      <c r="C41" s="1" t="str">
        <f>IF(C40&lt;'Information Sheet'!$J$11,'Repayment Schedule'!C40+1,"")</f>
        <v/>
      </c>
      <c r="D41" s="15" t="str">
        <f>IFERROR(EDATE('Information Sheet'!$D$13,'Information Sheet'!$F$10*'Repayment Schedule'!C41),"")</f>
        <v/>
      </c>
      <c r="E41" s="16" t="str">
        <f t="shared" si="0"/>
        <v/>
      </c>
      <c r="F41" s="16" t="str">
        <f>IFERROR(-IPMT('Information Sheet'!$D$8/'Information Sheet'!$E$10,'Repayment Schedule'!C41,'Information Sheet'!$D$9*'Information Sheet'!$E$10,'Information Sheet'!$J$9),"")</f>
        <v/>
      </c>
      <c r="G41" s="16" t="str">
        <f>IFERROR(-PPMT('Information Sheet'!$D$8/'Information Sheet'!$E$10,'Repayment Schedule'!C41,'Information Sheet'!$D$9*'Information Sheet'!$E$10,'Information Sheet'!$J$9),"")</f>
        <v/>
      </c>
      <c r="H41" s="16" t="str">
        <f>IF(C41="","",-PMT('Information Sheet'!$D$8/'Information Sheet'!$E$10,'Information Sheet'!$D$9*'Information Sheet'!$E$10,'Information Sheet'!$J$9))</f>
        <v/>
      </c>
    </row>
    <row r="42" spans="3:8" x14ac:dyDescent="0.3">
      <c r="C42" s="1" t="str">
        <f>IF(C41&lt;'Information Sheet'!$J$11,'Repayment Schedule'!C41+1,"")</f>
        <v/>
      </c>
      <c r="D42" s="15" t="str">
        <f>IFERROR(EDATE('Information Sheet'!$D$13,'Information Sheet'!$F$10*'Repayment Schedule'!C42),"")</f>
        <v/>
      </c>
      <c r="E42" s="16" t="str">
        <f t="shared" si="0"/>
        <v/>
      </c>
      <c r="F42" s="16" t="str">
        <f>IFERROR(-IPMT('Information Sheet'!$D$8/'Information Sheet'!$E$10,'Repayment Schedule'!C42,'Information Sheet'!$D$9*'Information Sheet'!$E$10,'Information Sheet'!$J$9),"")</f>
        <v/>
      </c>
      <c r="G42" s="16" t="str">
        <f>IFERROR(-PPMT('Information Sheet'!$D$8/'Information Sheet'!$E$10,'Repayment Schedule'!C42,'Information Sheet'!$D$9*'Information Sheet'!$E$10,'Information Sheet'!$J$9),"")</f>
        <v/>
      </c>
      <c r="H42" s="16" t="str">
        <f>IF(C42="","",-PMT('Information Sheet'!$D$8/'Information Sheet'!$E$10,'Information Sheet'!$D$9*'Information Sheet'!$E$10,'Information Sheet'!$J$9))</f>
        <v/>
      </c>
    </row>
    <row r="43" spans="3:8" x14ac:dyDescent="0.3">
      <c r="C43" s="1" t="str">
        <f>IF(C42&lt;'Information Sheet'!$J$11,'Repayment Schedule'!C42+1,"")</f>
        <v/>
      </c>
      <c r="D43" s="15" t="str">
        <f>IFERROR(EDATE('Information Sheet'!$D$13,'Information Sheet'!$F$10*'Repayment Schedule'!C43),"")</f>
        <v/>
      </c>
      <c r="E43" s="16" t="str">
        <f t="shared" si="0"/>
        <v/>
      </c>
      <c r="F43" s="16" t="str">
        <f>IFERROR(-IPMT('Information Sheet'!$D$8/'Information Sheet'!$E$10,'Repayment Schedule'!C43,'Information Sheet'!$D$9*'Information Sheet'!$E$10,'Information Sheet'!$J$9),"")</f>
        <v/>
      </c>
      <c r="G43" s="16" t="str">
        <f>IFERROR(-PPMT('Information Sheet'!$D$8/'Information Sheet'!$E$10,'Repayment Schedule'!C43,'Information Sheet'!$D$9*'Information Sheet'!$E$10,'Information Sheet'!$J$9),"")</f>
        <v/>
      </c>
      <c r="H43" s="16" t="str">
        <f>IF(C43="","",-PMT('Information Sheet'!$D$8/'Information Sheet'!$E$10,'Information Sheet'!$D$9*'Information Sheet'!$E$10,'Information Sheet'!$J$9))</f>
        <v/>
      </c>
    </row>
    <row r="44" spans="3:8" x14ac:dyDescent="0.3">
      <c r="C44" s="1" t="str">
        <f>IF(C43&lt;'Information Sheet'!$J$11,'Repayment Schedule'!C43+1,"")</f>
        <v/>
      </c>
      <c r="D44" s="15" t="str">
        <f>IFERROR(EDATE('Information Sheet'!$D$13,'Information Sheet'!$F$10*'Repayment Schedule'!C44),"")</f>
        <v/>
      </c>
      <c r="E44" s="16" t="str">
        <f t="shared" si="0"/>
        <v/>
      </c>
      <c r="F44" s="16" t="str">
        <f>IFERROR(-IPMT('Information Sheet'!$D$8/'Information Sheet'!$E$10,'Repayment Schedule'!C44,'Information Sheet'!$D$9*'Information Sheet'!$E$10,'Information Sheet'!$J$9),"")</f>
        <v/>
      </c>
      <c r="G44" s="16" t="str">
        <f>IFERROR(-PPMT('Information Sheet'!$D$8/'Information Sheet'!$E$10,'Repayment Schedule'!C44,'Information Sheet'!$D$9*'Information Sheet'!$E$10,'Information Sheet'!$J$9),"")</f>
        <v/>
      </c>
      <c r="H44" s="16" t="str">
        <f>IF(C44="","",-PMT('Information Sheet'!$D$8/'Information Sheet'!$E$10,'Information Sheet'!$D$9*'Information Sheet'!$E$10,'Information Sheet'!$J$9))</f>
        <v/>
      </c>
    </row>
    <row r="45" spans="3:8" x14ac:dyDescent="0.3">
      <c r="C45" s="1" t="str">
        <f>IF(C44&lt;'Information Sheet'!$J$11,'Repayment Schedule'!C44+1,"")</f>
        <v/>
      </c>
      <c r="D45" s="15" t="str">
        <f>IFERROR(EDATE('Information Sheet'!$D$13,'Information Sheet'!$F$10*'Repayment Schedule'!C45),"")</f>
        <v/>
      </c>
      <c r="E45" s="16" t="str">
        <f t="shared" si="0"/>
        <v/>
      </c>
      <c r="F45" s="16" t="str">
        <f>IFERROR(-IPMT('Information Sheet'!$D$8/'Information Sheet'!$E$10,'Repayment Schedule'!C45,'Information Sheet'!$D$9*'Information Sheet'!$E$10,'Information Sheet'!$J$9),"")</f>
        <v/>
      </c>
      <c r="G45" s="16" t="str">
        <f>IFERROR(-PPMT('Information Sheet'!$D$8/'Information Sheet'!$E$10,'Repayment Schedule'!C45,'Information Sheet'!$D$9*'Information Sheet'!$E$10,'Information Sheet'!$J$9),"")</f>
        <v/>
      </c>
      <c r="H45" s="16" t="str">
        <f>IF(C45="","",-PMT('Information Sheet'!$D$8/'Information Sheet'!$E$10,'Information Sheet'!$D$9*'Information Sheet'!$E$10,'Information Sheet'!$J$9))</f>
        <v/>
      </c>
    </row>
    <row r="46" spans="3:8" x14ac:dyDescent="0.3">
      <c r="C46" s="1" t="str">
        <f>IF(C45&lt;'Information Sheet'!$J$11,'Repayment Schedule'!C45+1,"")</f>
        <v/>
      </c>
      <c r="D46" s="15" t="str">
        <f>IFERROR(EDATE('Information Sheet'!$D$13,'Information Sheet'!$F$10*'Repayment Schedule'!C46),"")</f>
        <v/>
      </c>
      <c r="E46" s="16" t="str">
        <f t="shared" si="0"/>
        <v/>
      </c>
      <c r="F46" s="16" t="str">
        <f>IFERROR(-IPMT('Information Sheet'!$D$8/'Information Sheet'!$E$10,'Repayment Schedule'!C46,'Information Sheet'!$D$9*'Information Sheet'!$E$10,'Information Sheet'!$J$9),"")</f>
        <v/>
      </c>
      <c r="G46" s="16" t="str">
        <f>IFERROR(-PPMT('Information Sheet'!$D$8/'Information Sheet'!$E$10,'Repayment Schedule'!C46,'Information Sheet'!$D$9*'Information Sheet'!$E$10,'Information Sheet'!$J$9),"")</f>
        <v/>
      </c>
      <c r="H46" s="16" t="str">
        <f>IF(C46="","",-PMT('Information Sheet'!$D$8/'Information Sheet'!$E$10,'Information Sheet'!$D$9*'Information Sheet'!$E$10,'Information Sheet'!$J$9))</f>
        <v/>
      </c>
    </row>
    <row r="47" spans="3:8" x14ac:dyDescent="0.3">
      <c r="C47" s="1" t="str">
        <f>IF(C46&lt;'Information Sheet'!$J$11,'Repayment Schedule'!C46+1,"")</f>
        <v/>
      </c>
      <c r="D47" s="15" t="str">
        <f>IFERROR(EDATE('Information Sheet'!$D$13,'Information Sheet'!$F$10*'Repayment Schedule'!C47),"")</f>
        <v/>
      </c>
      <c r="E47" s="16" t="str">
        <f t="shared" si="0"/>
        <v/>
      </c>
      <c r="F47" s="16" t="str">
        <f>IFERROR(-IPMT('Information Sheet'!$D$8/'Information Sheet'!$E$10,'Repayment Schedule'!C47,'Information Sheet'!$D$9*'Information Sheet'!$E$10,'Information Sheet'!$J$9),"")</f>
        <v/>
      </c>
      <c r="G47" s="16" t="str">
        <f>IFERROR(-PPMT('Information Sheet'!$D$8/'Information Sheet'!$E$10,'Repayment Schedule'!C47,'Information Sheet'!$D$9*'Information Sheet'!$E$10,'Information Sheet'!$J$9),"")</f>
        <v/>
      </c>
      <c r="H47" s="16" t="str">
        <f>IF(C47="","",-PMT('Information Sheet'!$D$8/'Information Sheet'!$E$10,'Information Sheet'!$D$9*'Information Sheet'!$E$10,'Information Sheet'!$J$9))</f>
        <v/>
      </c>
    </row>
    <row r="48" spans="3:8" x14ac:dyDescent="0.3">
      <c r="C48" s="1" t="str">
        <f>IF(C47&lt;'Information Sheet'!$J$11,'Repayment Schedule'!C47+1,"")</f>
        <v/>
      </c>
      <c r="D48" s="15" t="str">
        <f>IFERROR(EDATE('Information Sheet'!$D$13,'Information Sheet'!$F$10*'Repayment Schedule'!C48),"")</f>
        <v/>
      </c>
      <c r="E48" s="16" t="str">
        <f t="shared" si="0"/>
        <v/>
      </c>
      <c r="F48" s="16" t="str">
        <f>IFERROR(-IPMT('Information Sheet'!$D$8/'Information Sheet'!$E$10,'Repayment Schedule'!C48,'Information Sheet'!$D$9*'Information Sheet'!$E$10,'Information Sheet'!$J$9),"")</f>
        <v/>
      </c>
      <c r="G48" s="16" t="str">
        <f>IFERROR(-PPMT('Information Sheet'!$D$8/'Information Sheet'!$E$10,'Repayment Schedule'!C48,'Information Sheet'!$D$9*'Information Sheet'!$E$10,'Information Sheet'!$J$9),"")</f>
        <v/>
      </c>
      <c r="H48" s="16" t="str">
        <f>IF(C48="","",-PMT('Information Sheet'!$D$8/'Information Sheet'!$E$10,'Information Sheet'!$D$9*'Information Sheet'!$E$10,'Information Sheet'!$J$9))</f>
        <v/>
      </c>
    </row>
    <row r="49" spans="3:8" x14ac:dyDescent="0.3">
      <c r="C49" s="1" t="str">
        <f>IF(C48&lt;'Information Sheet'!$J$11,'Repayment Schedule'!C48+1,"")</f>
        <v/>
      </c>
      <c r="D49" s="15" t="str">
        <f>IFERROR(EDATE('Information Sheet'!$D$13,'Information Sheet'!$F$10*'Repayment Schedule'!C49),"")</f>
        <v/>
      </c>
      <c r="E49" s="16" t="str">
        <f t="shared" si="0"/>
        <v/>
      </c>
      <c r="F49" s="16" t="str">
        <f>IFERROR(-IPMT('Information Sheet'!$D$8/'Information Sheet'!$E$10,'Repayment Schedule'!C49,'Information Sheet'!$D$9*'Information Sheet'!$E$10,'Information Sheet'!$J$9),"")</f>
        <v/>
      </c>
      <c r="G49" s="16" t="str">
        <f>IFERROR(-PPMT('Information Sheet'!$D$8/'Information Sheet'!$E$10,'Repayment Schedule'!C49,'Information Sheet'!$D$9*'Information Sheet'!$E$10,'Information Sheet'!$J$9),"")</f>
        <v/>
      </c>
      <c r="H49" s="16" t="str">
        <f>IF(C49="","",-PMT('Information Sheet'!$D$8/'Information Sheet'!$E$10,'Information Sheet'!$D$9*'Information Sheet'!$E$10,'Information Sheet'!$J$9))</f>
        <v/>
      </c>
    </row>
    <row r="50" spans="3:8" x14ac:dyDescent="0.3">
      <c r="C50" s="1" t="str">
        <f>IF(C49&lt;'Information Sheet'!$J$11,'Repayment Schedule'!C49+1,"")</f>
        <v/>
      </c>
      <c r="D50" s="15" t="str">
        <f>IFERROR(EDATE('Information Sheet'!$D$13,'Information Sheet'!$F$10*'Repayment Schedule'!C50),"")</f>
        <v/>
      </c>
      <c r="E50" s="16" t="str">
        <f t="shared" si="0"/>
        <v/>
      </c>
      <c r="F50" s="16" t="str">
        <f>IFERROR(-IPMT('Information Sheet'!$D$8/'Information Sheet'!$E$10,'Repayment Schedule'!C50,'Information Sheet'!$D$9*'Information Sheet'!$E$10,'Information Sheet'!$J$9),"")</f>
        <v/>
      </c>
      <c r="G50" s="16" t="str">
        <f>IFERROR(-PPMT('Information Sheet'!$D$8/'Information Sheet'!$E$10,'Repayment Schedule'!C50,'Information Sheet'!$D$9*'Information Sheet'!$E$10,'Information Sheet'!$J$9),"")</f>
        <v/>
      </c>
      <c r="H50" s="16" t="str">
        <f>IF(C50="","",-PMT('Information Sheet'!$D$8/'Information Sheet'!$E$10,'Information Sheet'!$D$9*'Information Sheet'!$E$10,'Information Sheet'!$J$9))</f>
        <v/>
      </c>
    </row>
    <row r="51" spans="3:8" x14ac:dyDescent="0.3">
      <c r="C51" s="1" t="str">
        <f>IF(C50&lt;'Information Sheet'!$J$11,'Repayment Schedule'!C50+1,"")</f>
        <v/>
      </c>
      <c r="D51" s="15" t="str">
        <f>IFERROR(EDATE('Information Sheet'!$D$13,'Information Sheet'!$F$10*'Repayment Schedule'!C51),"")</f>
        <v/>
      </c>
      <c r="E51" s="16" t="str">
        <f t="shared" si="0"/>
        <v/>
      </c>
      <c r="F51" s="16" t="str">
        <f>IFERROR(-IPMT('Information Sheet'!$D$8/'Information Sheet'!$E$10,'Repayment Schedule'!C51,'Information Sheet'!$D$9*'Information Sheet'!$E$10,'Information Sheet'!$J$9),"")</f>
        <v/>
      </c>
      <c r="G51" s="16" t="str">
        <f>IFERROR(-PPMT('Information Sheet'!$D$8/'Information Sheet'!$E$10,'Repayment Schedule'!C51,'Information Sheet'!$D$9*'Information Sheet'!$E$10,'Information Sheet'!$J$9),"")</f>
        <v/>
      </c>
      <c r="H51" s="16" t="str">
        <f>IF(C51="","",-PMT('Information Sheet'!$D$8/'Information Sheet'!$E$10,'Information Sheet'!$D$9*'Information Sheet'!$E$10,'Information Sheet'!$J$9))</f>
        <v/>
      </c>
    </row>
    <row r="52" spans="3:8" x14ac:dyDescent="0.3">
      <c r="C52" s="1" t="str">
        <f>IF(C51&lt;'Information Sheet'!$J$11,'Repayment Schedule'!C51+1,"")</f>
        <v/>
      </c>
      <c r="D52" s="15" t="str">
        <f>IFERROR(EDATE('Information Sheet'!$D$13,'Information Sheet'!$F$10*'Repayment Schedule'!C52),"")</f>
        <v/>
      </c>
      <c r="E52" s="16" t="str">
        <f t="shared" si="0"/>
        <v/>
      </c>
      <c r="F52" s="16" t="str">
        <f>IFERROR(-IPMT('Information Sheet'!$D$8/'Information Sheet'!$E$10,'Repayment Schedule'!C52,'Information Sheet'!$D$9*'Information Sheet'!$E$10,'Information Sheet'!$J$9),"")</f>
        <v/>
      </c>
      <c r="G52" s="16" t="str">
        <f>IFERROR(-PPMT('Information Sheet'!$D$8/'Information Sheet'!$E$10,'Repayment Schedule'!C52,'Information Sheet'!$D$9*'Information Sheet'!$E$10,'Information Sheet'!$J$9),"")</f>
        <v/>
      </c>
      <c r="H52" s="16" t="str">
        <f>IF(C52="","",-PMT('Information Sheet'!$D$8/'Information Sheet'!$E$10,'Information Sheet'!$D$9*'Information Sheet'!$E$10,'Information Sheet'!$J$9))</f>
        <v/>
      </c>
    </row>
    <row r="53" spans="3:8" x14ac:dyDescent="0.3">
      <c r="C53" s="1" t="str">
        <f>IF(C52&lt;'Information Sheet'!$J$11,'Repayment Schedule'!C52+1,"")</f>
        <v/>
      </c>
      <c r="D53" s="15" t="str">
        <f>IFERROR(EDATE('Information Sheet'!$D$13,'Information Sheet'!$F$10*'Repayment Schedule'!C53),"")</f>
        <v/>
      </c>
      <c r="E53" s="16" t="str">
        <f t="shared" si="0"/>
        <v/>
      </c>
      <c r="F53" s="16" t="str">
        <f>IFERROR(-IPMT('Information Sheet'!$D$8/'Information Sheet'!$E$10,'Repayment Schedule'!C53,'Information Sheet'!$D$9*'Information Sheet'!$E$10,'Information Sheet'!$J$9),"")</f>
        <v/>
      </c>
      <c r="G53" s="16" t="str">
        <f>IFERROR(-PPMT('Information Sheet'!$D$8/'Information Sheet'!$E$10,'Repayment Schedule'!C53,'Information Sheet'!$D$9*'Information Sheet'!$E$10,'Information Sheet'!$J$9),"")</f>
        <v/>
      </c>
      <c r="H53" s="16" t="str">
        <f>IF(C53="","",-PMT('Information Sheet'!$D$8/'Information Sheet'!$E$10,'Information Sheet'!$D$9*'Information Sheet'!$E$10,'Information Sheet'!$J$9))</f>
        <v/>
      </c>
    </row>
    <row r="54" spans="3:8" x14ac:dyDescent="0.3">
      <c r="C54" s="1" t="str">
        <f>IF(C53&lt;'Information Sheet'!$J$11,'Repayment Schedule'!C53+1,"")</f>
        <v/>
      </c>
      <c r="D54" s="15" t="str">
        <f>IFERROR(EDATE('Information Sheet'!$D$13,'Information Sheet'!$F$10*'Repayment Schedule'!C54),"")</f>
        <v/>
      </c>
      <c r="E54" s="16" t="str">
        <f t="shared" si="0"/>
        <v/>
      </c>
      <c r="F54" s="16" t="str">
        <f>IFERROR(-IPMT('Information Sheet'!$D$8/'Information Sheet'!$E$10,'Repayment Schedule'!C54,'Information Sheet'!$D$9*'Information Sheet'!$E$10,'Information Sheet'!$J$9),"")</f>
        <v/>
      </c>
      <c r="G54" s="16" t="str">
        <f>IFERROR(-PPMT('Information Sheet'!$D$8/'Information Sheet'!$E$10,'Repayment Schedule'!C54,'Information Sheet'!$D$9*'Information Sheet'!$E$10,'Information Sheet'!$J$9),"")</f>
        <v/>
      </c>
      <c r="H54" s="16" t="str">
        <f>IF(C54="","",-PMT('Information Sheet'!$D$8/'Information Sheet'!$E$10,'Information Sheet'!$D$9*'Information Sheet'!$E$10,'Information Sheet'!$J$9))</f>
        <v/>
      </c>
    </row>
    <row r="55" spans="3:8" x14ac:dyDescent="0.3">
      <c r="C55" s="1" t="str">
        <f>IF(C54&lt;'Information Sheet'!$J$11,'Repayment Schedule'!C54+1,"")</f>
        <v/>
      </c>
      <c r="D55" s="15" t="str">
        <f>IFERROR(EDATE('Information Sheet'!$D$13,'Information Sheet'!$F$10*'Repayment Schedule'!C55),"")</f>
        <v/>
      </c>
      <c r="E55" s="16" t="str">
        <f t="shared" si="0"/>
        <v/>
      </c>
      <c r="F55" s="16" t="str">
        <f>IFERROR(-IPMT('Information Sheet'!$D$8/'Information Sheet'!$E$10,'Repayment Schedule'!C55,'Information Sheet'!$D$9*'Information Sheet'!$E$10,'Information Sheet'!$J$9),"")</f>
        <v/>
      </c>
      <c r="G55" s="16" t="str">
        <f>IFERROR(-PPMT('Information Sheet'!$D$8/'Information Sheet'!$E$10,'Repayment Schedule'!C55,'Information Sheet'!$D$9*'Information Sheet'!$E$10,'Information Sheet'!$J$9),"")</f>
        <v/>
      </c>
      <c r="H55" s="16" t="str">
        <f>IF(C55="","",-PMT('Information Sheet'!$D$8/'Information Sheet'!$E$10,'Information Sheet'!$D$9*'Information Sheet'!$E$10,'Information Sheet'!$J$9))</f>
        <v/>
      </c>
    </row>
    <row r="56" spans="3:8" x14ac:dyDescent="0.3">
      <c r="C56" s="1" t="str">
        <f>IF(C55&lt;'Information Sheet'!$J$11,'Repayment Schedule'!C55+1,"")</f>
        <v/>
      </c>
      <c r="D56" s="15" t="str">
        <f>IFERROR(EDATE('Information Sheet'!$D$13,'Information Sheet'!$F$10*'Repayment Schedule'!C56),"")</f>
        <v/>
      </c>
      <c r="E56" s="16" t="str">
        <f t="shared" si="0"/>
        <v/>
      </c>
      <c r="F56" s="16" t="str">
        <f>IFERROR(-IPMT('Information Sheet'!$D$8/'Information Sheet'!$E$10,'Repayment Schedule'!C56,'Information Sheet'!$D$9*'Information Sheet'!$E$10,'Information Sheet'!$J$9),"")</f>
        <v/>
      </c>
      <c r="G56" s="16" t="str">
        <f>IFERROR(-PPMT('Information Sheet'!$D$8/'Information Sheet'!$E$10,'Repayment Schedule'!C56,'Information Sheet'!$D$9*'Information Sheet'!$E$10,'Information Sheet'!$J$9),"")</f>
        <v/>
      </c>
      <c r="H56" s="16" t="str">
        <f>IF(C56="","",-PMT('Information Sheet'!$D$8/'Information Sheet'!$E$10,'Information Sheet'!$D$9*'Information Sheet'!$E$10,'Information Sheet'!$J$9))</f>
        <v/>
      </c>
    </row>
    <row r="57" spans="3:8" x14ac:dyDescent="0.3">
      <c r="C57" s="1" t="str">
        <f>IF(C56&lt;'Information Sheet'!$J$11,'Repayment Schedule'!C56+1,"")</f>
        <v/>
      </c>
      <c r="D57" s="15" t="str">
        <f>IFERROR(EDATE('Information Sheet'!$D$13,'Information Sheet'!$F$10*'Repayment Schedule'!C57),"")</f>
        <v/>
      </c>
      <c r="E57" s="16" t="str">
        <f t="shared" si="0"/>
        <v/>
      </c>
      <c r="F57" s="16" t="str">
        <f>IFERROR(-IPMT('Information Sheet'!$D$8/'Information Sheet'!$E$10,'Repayment Schedule'!C57,'Information Sheet'!$D$9*'Information Sheet'!$E$10,'Information Sheet'!$J$9),"")</f>
        <v/>
      </c>
      <c r="G57" s="16" t="str">
        <f>IFERROR(-PPMT('Information Sheet'!$D$8/'Information Sheet'!$E$10,'Repayment Schedule'!C57,'Information Sheet'!$D$9*'Information Sheet'!$E$10,'Information Sheet'!$J$9),"")</f>
        <v/>
      </c>
      <c r="H57" s="16" t="str">
        <f>IF(C57="","",-PMT('Information Sheet'!$D$8/'Information Sheet'!$E$10,'Information Sheet'!$D$9*'Information Sheet'!$E$10,'Information Sheet'!$J$9))</f>
        <v/>
      </c>
    </row>
    <row r="58" spans="3:8" x14ac:dyDescent="0.3">
      <c r="C58" s="1" t="str">
        <f>IF(C57&lt;'Information Sheet'!$J$11,'Repayment Schedule'!C57+1,"")</f>
        <v/>
      </c>
      <c r="D58" s="15" t="str">
        <f>IFERROR(EDATE('Information Sheet'!$D$13,'Information Sheet'!$F$10*'Repayment Schedule'!C58),"")</f>
        <v/>
      </c>
      <c r="E58" s="16" t="str">
        <f t="shared" si="0"/>
        <v/>
      </c>
      <c r="F58" s="16" t="str">
        <f>IFERROR(-IPMT('Information Sheet'!$D$8/'Information Sheet'!$E$10,'Repayment Schedule'!C58,'Information Sheet'!$D$9*'Information Sheet'!$E$10,'Information Sheet'!$J$9),"")</f>
        <v/>
      </c>
      <c r="G58" s="16" t="str">
        <f>IFERROR(-PPMT('Information Sheet'!$D$8/'Information Sheet'!$E$10,'Repayment Schedule'!C58,'Information Sheet'!$D$9*'Information Sheet'!$E$10,'Information Sheet'!$J$9),"")</f>
        <v/>
      </c>
      <c r="H58" s="16" t="str">
        <f>IF(C58="","",-PMT('Information Sheet'!$D$8/'Information Sheet'!$E$10,'Information Sheet'!$D$9*'Information Sheet'!$E$10,'Information Sheet'!$J$9))</f>
        <v/>
      </c>
    </row>
    <row r="59" spans="3:8" x14ac:dyDescent="0.3">
      <c r="C59" s="1" t="str">
        <f>IF(C58&lt;'Information Sheet'!$J$11,'Repayment Schedule'!C58+1,"")</f>
        <v/>
      </c>
      <c r="D59" s="15" t="str">
        <f>IFERROR(EDATE('Information Sheet'!$D$13,'Information Sheet'!$F$10*'Repayment Schedule'!C59),"")</f>
        <v/>
      </c>
      <c r="E59" s="16" t="str">
        <f t="shared" si="0"/>
        <v/>
      </c>
      <c r="F59" s="16" t="str">
        <f>IFERROR(-IPMT('Information Sheet'!$D$8/'Information Sheet'!$E$10,'Repayment Schedule'!C59,'Information Sheet'!$D$9*'Information Sheet'!$E$10,'Information Sheet'!$J$9),"")</f>
        <v/>
      </c>
      <c r="G59" s="16" t="str">
        <f>IFERROR(-PPMT('Information Sheet'!$D$8/'Information Sheet'!$E$10,'Repayment Schedule'!C59,'Information Sheet'!$D$9*'Information Sheet'!$E$10,'Information Sheet'!$J$9),"")</f>
        <v/>
      </c>
      <c r="H59" s="16" t="str">
        <f>IF(C59="","",-PMT('Information Sheet'!$D$8/'Information Sheet'!$E$10,'Information Sheet'!$D$9*'Information Sheet'!$E$10,'Information Sheet'!$J$9))</f>
        <v/>
      </c>
    </row>
    <row r="60" spans="3:8" x14ac:dyDescent="0.3">
      <c r="C60" s="1" t="str">
        <f>IF(C59&lt;'Information Sheet'!$J$11,'Repayment Schedule'!C59+1,"")</f>
        <v/>
      </c>
      <c r="D60" s="15" t="str">
        <f>IFERROR(EDATE('Information Sheet'!$D$13,'Information Sheet'!$F$10*'Repayment Schedule'!C60),"")</f>
        <v/>
      </c>
      <c r="E60" s="16" t="str">
        <f t="shared" si="0"/>
        <v/>
      </c>
      <c r="F60" s="16" t="str">
        <f>IFERROR(-IPMT('Information Sheet'!$D$8/'Information Sheet'!$E$10,'Repayment Schedule'!C60,'Information Sheet'!$D$9*'Information Sheet'!$E$10,'Information Sheet'!$J$9),"")</f>
        <v/>
      </c>
      <c r="G60" s="16" t="str">
        <f>IFERROR(-PPMT('Information Sheet'!$D$8/'Information Sheet'!$E$10,'Repayment Schedule'!C60,'Information Sheet'!$D$9*'Information Sheet'!$E$10,'Information Sheet'!$J$9),"")</f>
        <v/>
      </c>
      <c r="H60" s="16" t="str">
        <f>IF(C60="","",-PMT('Information Sheet'!$D$8/'Information Sheet'!$E$10,'Information Sheet'!$D$9*'Information Sheet'!$E$10,'Information Sheet'!$J$9))</f>
        <v/>
      </c>
    </row>
    <row r="61" spans="3:8" x14ac:dyDescent="0.3">
      <c r="C61" s="1" t="str">
        <f>IF(C60&lt;'Information Sheet'!$J$11,'Repayment Schedule'!C60+1,"")</f>
        <v/>
      </c>
      <c r="D61" s="15" t="str">
        <f>IFERROR(EDATE('Information Sheet'!$D$13,'Information Sheet'!$F$10*'Repayment Schedule'!C61),"")</f>
        <v/>
      </c>
      <c r="E61" s="16" t="str">
        <f t="shared" si="0"/>
        <v/>
      </c>
      <c r="F61" s="16" t="str">
        <f>IFERROR(-IPMT('Information Sheet'!$D$8/'Information Sheet'!$E$10,'Repayment Schedule'!C61,'Information Sheet'!$D$9*'Information Sheet'!$E$10,'Information Sheet'!$J$9),"")</f>
        <v/>
      </c>
      <c r="G61" s="16" t="str">
        <f>IFERROR(-PPMT('Information Sheet'!$D$8/'Information Sheet'!$E$10,'Repayment Schedule'!C61,'Information Sheet'!$D$9*'Information Sheet'!$E$10,'Information Sheet'!$J$9),"")</f>
        <v/>
      </c>
      <c r="H61" s="16" t="str">
        <f>IF(C61="","",-PMT('Information Sheet'!$D$8/'Information Sheet'!$E$10,'Information Sheet'!$D$9*'Information Sheet'!$E$10,'Information Sheet'!$J$9))</f>
        <v/>
      </c>
    </row>
    <row r="62" spans="3:8" x14ac:dyDescent="0.3">
      <c r="C62" s="1" t="str">
        <f>IF(C61&lt;'Information Sheet'!$J$11,'Repayment Schedule'!C61+1,"")</f>
        <v/>
      </c>
      <c r="D62" s="15" t="str">
        <f>IFERROR(EDATE('Information Sheet'!$D$13,'Information Sheet'!$F$10*'Repayment Schedule'!C62),"")</f>
        <v/>
      </c>
      <c r="E62" s="16" t="str">
        <f t="shared" si="0"/>
        <v/>
      </c>
      <c r="F62" s="16" t="str">
        <f>IFERROR(-IPMT('Information Sheet'!$D$8/'Information Sheet'!$E$10,'Repayment Schedule'!C62,'Information Sheet'!$D$9*'Information Sheet'!$E$10,'Information Sheet'!$J$9),"")</f>
        <v/>
      </c>
      <c r="G62" s="16" t="str">
        <f>IFERROR(-PPMT('Information Sheet'!$D$8/'Information Sheet'!$E$10,'Repayment Schedule'!C62,'Information Sheet'!$D$9*'Information Sheet'!$E$10,'Information Sheet'!$J$9),"")</f>
        <v/>
      </c>
      <c r="H62" s="16" t="str">
        <f>IF(C62="","",-PMT('Information Sheet'!$D$8/'Information Sheet'!$E$10,'Information Sheet'!$D$9*'Information Sheet'!$E$10,'Information Sheet'!$J$9))</f>
        <v/>
      </c>
    </row>
    <row r="63" spans="3:8" x14ac:dyDescent="0.3">
      <c r="C63" s="1" t="str">
        <f>IF(C62&lt;'Information Sheet'!$J$11,'Repayment Schedule'!C62+1,"")</f>
        <v/>
      </c>
      <c r="D63" s="15" t="str">
        <f>IFERROR(EDATE('Information Sheet'!$D$13,'Information Sheet'!$F$10*'Repayment Schedule'!C63),"")</f>
        <v/>
      </c>
      <c r="E63" s="16" t="str">
        <f t="shared" si="0"/>
        <v/>
      </c>
      <c r="F63" s="16" t="str">
        <f>IFERROR(-IPMT('Information Sheet'!$D$8/'Information Sheet'!$E$10,'Repayment Schedule'!C63,'Information Sheet'!$D$9*'Information Sheet'!$E$10,'Information Sheet'!$J$9),"")</f>
        <v/>
      </c>
      <c r="G63" s="16" t="str">
        <f>IFERROR(-PPMT('Information Sheet'!$D$8/'Information Sheet'!$E$10,'Repayment Schedule'!C63,'Information Sheet'!$D$9*'Information Sheet'!$E$10,'Information Sheet'!$J$9),"")</f>
        <v/>
      </c>
      <c r="H63" s="16" t="str">
        <f>IF(C63="","",-PMT('Information Sheet'!$D$8/'Information Sheet'!$E$10,'Information Sheet'!$D$9*'Information Sheet'!$E$10,'Information Sheet'!$J$9))</f>
        <v/>
      </c>
    </row>
    <row r="64" spans="3:8" x14ac:dyDescent="0.3">
      <c r="C64" s="1" t="str">
        <f>IF(C63&lt;'Information Sheet'!$J$11,'Repayment Schedule'!C63+1,"")</f>
        <v/>
      </c>
      <c r="D64" s="15" t="str">
        <f>IFERROR(EDATE('Information Sheet'!$D$13,'Information Sheet'!$F$10*'Repayment Schedule'!C64),"")</f>
        <v/>
      </c>
      <c r="E64" s="16" t="str">
        <f t="shared" si="0"/>
        <v/>
      </c>
      <c r="F64" s="16" t="str">
        <f>IFERROR(-IPMT('Information Sheet'!$D$8/'Information Sheet'!$E$10,'Repayment Schedule'!C64,'Information Sheet'!$D$9*'Information Sheet'!$E$10,'Information Sheet'!$J$9),"")</f>
        <v/>
      </c>
      <c r="G64" s="16" t="str">
        <f>IFERROR(-PPMT('Information Sheet'!$D$8/'Information Sheet'!$E$10,'Repayment Schedule'!C64,'Information Sheet'!$D$9*'Information Sheet'!$E$10,'Information Sheet'!$J$9),"")</f>
        <v/>
      </c>
      <c r="H64" s="16" t="str">
        <f>IF(C64="","",-PMT('Information Sheet'!$D$8/'Information Sheet'!$E$10,'Information Sheet'!$D$9*'Information Sheet'!$E$10,'Information Sheet'!$J$9))</f>
        <v/>
      </c>
    </row>
    <row r="65" spans="3:8" x14ac:dyDescent="0.3">
      <c r="C65" s="1" t="str">
        <f>IF(C64&lt;'Information Sheet'!$J$11,'Repayment Schedule'!C64+1,"")</f>
        <v/>
      </c>
      <c r="D65" s="15" t="str">
        <f>IFERROR(EDATE('Information Sheet'!$D$13,'Information Sheet'!$F$10*'Repayment Schedule'!C65),"")</f>
        <v/>
      </c>
      <c r="E65" s="16" t="str">
        <f t="shared" si="0"/>
        <v/>
      </c>
      <c r="F65" s="16" t="str">
        <f>IFERROR(-IPMT('Information Sheet'!$D$8/'Information Sheet'!$E$10,'Repayment Schedule'!C65,'Information Sheet'!$D$9*'Information Sheet'!$E$10,'Information Sheet'!$J$9),"")</f>
        <v/>
      </c>
      <c r="G65" s="16" t="str">
        <f>IFERROR(-PPMT('Information Sheet'!$D$8/'Information Sheet'!$E$10,'Repayment Schedule'!C65,'Information Sheet'!$D$9*'Information Sheet'!$E$10,'Information Sheet'!$J$9),"")</f>
        <v/>
      </c>
      <c r="H65" s="16" t="str">
        <f>IF(C65="","",-PMT('Information Sheet'!$D$8/'Information Sheet'!$E$10,'Information Sheet'!$D$9*'Information Sheet'!$E$10,'Information Sheet'!$J$9))</f>
        <v/>
      </c>
    </row>
    <row r="66" spans="3:8" x14ac:dyDescent="0.3">
      <c r="C66" s="1" t="str">
        <f>IF(C65&lt;'Information Sheet'!$J$11,'Repayment Schedule'!C65+1,"")</f>
        <v/>
      </c>
      <c r="D66" s="15" t="str">
        <f>IFERROR(EDATE('Information Sheet'!$D$13,'Information Sheet'!$F$10*'Repayment Schedule'!C66),"")</f>
        <v/>
      </c>
      <c r="E66" s="16" t="str">
        <f t="shared" si="0"/>
        <v/>
      </c>
      <c r="F66" s="16" t="str">
        <f>IFERROR(-IPMT('Information Sheet'!$D$8/'Information Sheet'!$E$10,'Repayment Schedule'!C66,'Information Sheet'!$D$9*'Information Sheet'!$E$10,'Information Sheet'!$J$9),"")</f>
        <v/>
      </c>
      <c r="G66" s="16" t="str">
        <f>IFERROR(-PPMT('Information Sheet'!$D$8/'Information Sheet'!$E$10,'Repayment Schedule'!C66,'Information Sheet'!$D$9*'Information Sheet'!$E$10,'Information Sheet'!$J$9),"")</f>
        <v/>
      </c>
      <c r="H66" s="16" t="str">
        <f>IF(C66="","",-PMT('Information Sheet'!$D$8/'Information Sheet'!$E$10,'Information Sheet'!$D$9*'Information Sheet'!$E$10,'Information Sheet'!$J$9))</f>
        <v/>
      </c>
    </row>
    <row r="67" spans="3:8" x14ac:dyDescent="0.3">
      <c r="C67" s="1" t="str">
        <f>IF(C66&lt;'Information Sheet'!$J$11,'Repayment Schedule'!C66+1,"")</f>
        <v/>
      </c>
      <c r="D67" s="15" t="str">
        <f>IFERROR(EDATE('Information Sheet'!$D$13,'Information Sheet'!$F$10*'Repayment Schedule'!C67),"")</f>
        <v/>
      </c>
      <c r="E67" s="16" t="str">
        <f t="shared" si="0"/>
        <v/>
      </c>
      <c r="F67" s="16" t="str">
        <f>IFERROR(-IPMT('Information Sheet'!$D$8/'Information Sheet'!$E$10,'Repayment Schedule'!C67,'Information Sheet'!$D$9*'Information Sheet'!$E$10,'Information Sheet'!$J$9),"")</f>
        <v/>
      </c>
      <c r="G67" s="16" t="str">
        <f>IFERROR(-PPMT('Information Sheet'!$D$8/'Information Sheet'!$E$10,'Repayment Schedule'!C67,'Information Sheet'!$D$9*'Information Sheet'!$E$10,'Information Sheet'!$J$9),"")</f>
        <v/>
      </c>
      <c r="H67" s="16" t="str">
        <f>IF(C67="","",-PMT('Information Sheet'!$D$8/'Information Sheet'!$E$10,'Information Sheet'!$D$9*'Information Sheet'!$E$10,'Information Sheet'!$J$9))</f>
        <v/>
      </c>
    </row>
    <row r="68" spans="3:8" x14ac:dyDescent="0.3">
      <c r="C68" s="1" t="str">
        <f>IF(C67&lt;'Information Sheet'!$J$11,'Repayment Schedule'!C67+1,"")</f>
        <v/>
      </c>
      <c r="D68" s="15" t="str">
        <f>IFERROR(EDATE('Information Sheet'!$D$13,'Information Sheet'!$F$10*'Repayment Schedule'!C68),"")</f>
        <v/>
      </c>
      <c r="E68" s="16" t="str">
        <f t="shared" si="0"/>
        <v/>
      </c>
      <c r="F68" s="16" t="str">
        <f>IFERROR(-IPMT('Information Sheet'!$D$8/'Information Sheet'!$E$10,'Repayment Schedule'!C68,'Information Sheet'!$D$9*'Information Sheet'!$E$10,'Information Sheet'!$J$9),"")</f>
        <v/>
      </c>
      <c r="G68" s="16" t="str">
        <f>IFERROR(-PPMT('Information Sheet'!$D$8/'Information Sheet'!$E$10,'Repayment Schedule'!C68,'Information Sheet'!$D$9*'Information Sheet'!$E$10,'Information Sheet'!$J$9),"")</f>
        <v/>
      </c>
      <c r="H68" s="16" t="str">
        <f>IF(C68="","",-PMT('Information Sheet'!$D$8/'Information Sheet'!$E$10,'Information Sheet'!$D$9*'Information Sheet'!$E$10,'Information Sheet'!$J$9))</f>
        <v/>
      </c>
    </row>
    <row r="69" spans="3:8" x14ac:dyDescent="0.3">
      <c r="C69" s="1" t="str">
        <f>IF(C68&lt;'Information Sheet'!$J$11,'Repayment Schedule'!C68+1,"")</f>
        <v/>
      </c>
      <c r="D69" s="15" t="str">
        <f>IFERROR(EDATE('Information Sheet'!$D$13,'Information Sheet'!$F$10*'Repayment Schedule'!C69),"")</f>
        <v/>
      </c>
      <c r="E69" s="16" t="str">
        <f t="shared" si="0"/>
        <v/>
      </c>
      <c r="F69" s="16" t="str">
        <f>IFERROR(-IPMT('Information Sheet'!$D$8/'Information Sheet'!$E$10,'Repayment Schedule'!C69,'Information Sheet'!$D$9*'Information Sheet'!$E$10,'Information Sheet'!$J$9),"")</f>
        <v/>
      </c>
      <c r="G69" s="16" t="str">
        <f>IFERROR(-PPMT('Information Sheet'!$D$8/'Information Sheet'!$E$10,'Repayment Schedule'!C69,'Information Sheet'!$D$9*'Information Sheet'!$E$10,'Information Sheet'!$J$9),"")</f>
        <v/>
      </c>
      <c r="H69" s="16" t="str">
        <f>IF(C69="","",-PMT('Information Sheet'!$D$8/'Information Sheet'!$E$10,'Information Sheet'!$D$9*'Information Sheet'!$E$10,'Information Sheet'!$J$9))</f>
        <v/>
      </c>
    </row>
    <row r="70" spans="3:8" x14ac:dyDescent="0.3">
      <c r="C70" s="1" t="str">
        <f>IF(C69&lt;'Information Sheet'!$J$11,'Repayment Schedule'!C69+1,"")</f>
        <v/>
      </c>
      <c r="D70" s="15" t="str">
        <f>IFERROR(EDATE('Information Sheet'!$D$13,'Information Sheet'!$F$10*'Repayment Schedule'!C70),"")</f>
        <v/>
      </c>
      <c r="E70" s="16" t="str">
        <f t="shared" si="0"/>
        <v/>
      </c>
      <c r="F70" s="16" t="str">
        <f>IFERROR(-IPMT('Information Sheet'!$D$8/'Information Sheet'!$E$10,'Repayment Schedule'!C70,'Information Sheet'!$D$9*'Information Sheet'!$E$10,'Information Sheet'!$J$9),"")</f>
        <v/>
      </c>
      <c r="G70" s="16" t="str">
        <f>IFERROR(-PPMT('Information Sheet'!$D$8/'Information Sheet'!$E$10,'Repayment Schedule'!C70,'Information Sheet'!$D$9*'Information Sheet'!$E$10,'Information Sheet'!$J$9),"")</f>
        <v/>
      </c>
      <c r="H70" s="16" t="str">
        <f>IF(C70="","",-PMT('Information Sheet'!$D$8/'Information Sheet'!$E$10,'Information Sheet'!$D$9*'Information Sheet'!$E$10,'Information Sheet'!$J$9))</f>
        <v/>
      </c>
    </row>
    <row r="71" spans="3:8" x14ac:dyDescent="0.3">
      <c r="C71" s="1" t="str">
        <f>IF(C70&lt;'Information Sheet'!$J$11,'Repayment Schedule'!C70+1,"")</f>
        <v/>
      </c>
      <c r="D71" s="15" t="str">
        <f>IFERROR(EDATE('Information Sheet'!$D$13,'Information Sheet'!$F$10*'Repayment Schedule'!C71),"")</f>
        <v/>
      </c>
      <c r="E71" s="16" t="str">
        <f t="shared" si="0"/>
        <v/>
      </c>
      <c r="F71" s="16" t="str">
        <f>IFERROR(-IPMT('Information Sheet'!$D$8/'Information Sheet'!$E$10,'Repayment Schedule'!C71,'Information Sheet'!$D$9*'Information Sheet'!$E$10,'Information Sheet'!$J$9),"")</f>
        <v/>
      </c>
      <c r="G71" s="16" t="str">
        <f>IFERROR(-PPMT('Information Sheet'!$D$8/'Information Sheet'!$E$10,'Repayment Schedule'!C71,'Information Sheet'!$D$9*'Information Sheet'!$E$10,'Information Sheet'!$J$9),"")</f>
        <v/>
      </c>
      <c r="H71" s="16" t="str">
        <f>IF(C71="","",-PMT('Information Sheet'!$D$8/'Information Sheet'!$E$10,'Information Sheet'!$D$9*'Information Sheet'!$E$10,'Information Sheet'!$J$9))</f>
        <v/>
      </c>
    </row>
    <row r="72" spans="3:8" x14ac:dyDescent="0.3">
      <c r="C72" s="1" t="str">
        <f>IF(C71&lt;'Information Sheet'!$J$11,'Repayment Schedule'!C71+1,"")</f>
        <v/>
      </c>
      <c r="D72" s="15" t="str">
        <f>IFERROR(EDATE('Information Sheet'!$D$13,'Information Sheet'!$F$10*'Repayment Schedule'!C72),"")</f>
        <v/>
      </c>
      <c r="E72" s="16" t="str">
        <f t="shared" ref="E72:E135" si="1">IFERROR((E71-G72),"")</f>
        <v/>
      </c>
      <c r="F72" s="16" t="str">
        <f>IFERROR(-IPMT('Information Sheet'!$D$8/'Information Sheet'!$E$10,'Repayment Schedule'!C72,'Information Sheet'!$D$9*'Information Sheet'!$E$10,'Information Sheet'!$J$9),"")</f>
        <v/>
      </c>
      <c r="G72" s="16" t="str">
        <f>IFERROR(-PPMT('Information Sheet'!$D$8/'Information Sheet'!$E$10,'Repayment Schedule'!C72,'Information Sheet'!$D$9*'Information Sheet'!$E$10,'Information Sheet'!$J$9),"")</f>
        <v/>
      </c>
      <c r="H72" s="16" t="str">
        <f>IF(C72="","",-PMT('Information Sheet'!$D$8/'Information Sheet'!$E$10,'Information Sheet'!$D$9*'Information Sheet'!$E$10,'Information Sheet'!$J$9))</f>
        <v/>
      </c>
    </row>
    <row r="73" spans="3:8" x14ac:dyDescent="0.3">
      <c r="C73" s="1" t="str">
        <f>IF(C72&lt;'Information Sheet'!$J$11,'Repayment Schedule'!C72+1,"")</f>
        <v/>
      </c>
      <c r="D73" s="15" t="str">
        <f>IFERROR(EDATE('Information Sheet'!$D$13,'Information Sheet'!$F$10*'Repayment Schedule'!C73),"")</f>
        <v/>
      </c>
      <c r="E73" s="16" t="str">
        <f t="shared" si="1"/>
        <v/>
      </c>
      <c r="F73" s="16" t="str">
        <f>IFERROR(-IPMT('Information Sheet'!$D$8/'Information Sheet'!$E$10,'Repayment Schedule'!C73,'Information Sheet'!$D$9*'Information Sheet'!$E$10,'Information Sheet'!$J$9),"")</f>
        <v/>
      </c>
      <c r="G73" s="16" t="str">
        <f>IFERROR(-PPMT('Information Sheet'!$D$8/'Information Sheet'!$E$10,'Repayment Schedule'!C73,'Information Sheet'!$D$9*'Information Sheet'!$E$10,'Information Sheet'!$J$9),"")</f>
        <v/>
      </c>
      <c r="H73" s="16" t="str">
        <f>IF(C73="","",-PMT('Information Sheet'!$D$8/'Information Sheet'!$E$10,'Information Sheet'!$D$9*'Information Sheet'!$E$10,'Information Sheet'!$J$9))</f>
        <v/>
      </c>
    </row>
    <row r="74" spans="3:8" x14ac:dyDescent="0.3">
      <c r="C74" s="1" t="str">
        <f>IF(C73&lt;'Information Sheet'!$J$11,'Repayment Schedule'!C73+1,"")</f>
        <v/>
      </c>
      <c r="D74" s="15" t="str">
        <f>IFERROR(EDATE('Information Sheet'!$D$13,'Information Sheet'!$F$10*'Repayment Schedule'!C74),"")</f>
        <v/>
      </c>
      <c r="E74" s="16" t="str">
        <f t="shared" si="1"/>
        <v/>
      </c>
      <c r="F74" s="16" t="str">
        <f>IFERROR(-IPMT('Information Sheet'!$D$8/'Information Sheet'!$E$10,'Repayment Schedule'!C74,'Information Sheet'!$D$9*'Information Sheet'!$E$10,'Information Sheet'!$J$9),"")</f>
        <v/>
      </c>
      <c r="G74" s="16" t="str">
        <f>IFERROR(-PPMT('Information Sheet'!$D$8/'Information Sheet'!$E$10,'Repayment Schedule'!C74,'Information Sheet'!$D$9*'Information Sheet'!$E$10,'Information Sheet'!$J$9),"")</f>
        <v/>
      </c>
      <c r="H74" s="16" t="str">
        <f>IF(C74="","",-PMT('Information Sheet'!$D$8/'Information Sheet'!$E$10,'Information Sheet'!$D$9*'Information Sheet'!$E$10,'Information Sheet'!$J$9))</f>
        <v/>
      </c>
    </row>
    <row r="75" spans="3:8" x14ac:dyDescent="0.3">
      <c r="C75" s="1" t="str">
        <f>IF(C74&lt;'Information Sheet'!$J$11,'Repayment Schedule'!C74+1,"")</f>
        <v/>
      </c>
      <c r="D75" s="15" t="str">
        <f>IFERROR(EDATE('Information Sheet'!$D$13,'Information Sheet'!$F$10*'Repayment Schedule'!C75),"")</f>
        <v/>
      </c>
      <c r="E75" s="16" t="str">
        <f t="shared" si="1"/>
        <v/>
      </c>
      <c r="F75" s="16" t="str">
        <f>IFERROR(-IPMT('Information Sheet'!$D$8/'Information Sheet'!$E$10,'Repayment Schedule'!C75,'Information Sheet'!$D$9*'Information Sheet'!$E$10,'Information Sheet'!$J$9),"")</f>
        <v/>
      </c>
      <c r="G75" s="16" t="str">
        <f>IFERROR(-PPMT('Information Sheet'!$D$8/'Information Sheet'!$E$10,'Repayment Schedule'!C75,'Information Sheet'!$D$9*'Information Sheet'!$E$10,'Information Sheet'!$J$9),"")</f>
        <v/>
      </c>
      <c r="H75" s="16" t="str">
        <f>IF(C75="","",-PMT('Information Sheet'!$D$8/'Information Sheet'!$E$10,'Information Sheet'!$D$9*'Information Sheet'!$E$10,'Information Sheet'!$J$9))</f>
        <v/>
      </c>
    </row>
    <row r="76" spans="3:8" x14ac:dyDescent="0.3">
      <c r="C76" s="1" t="str">
        <f>IF(C75&lt;'Information Sheet'!$J$11,'Repayment Schedule'!C75+1,"")</f>
        <v/>
      </c>
      <c r="D76" s="15" t="str">
        <f>IFERROR(EDATE('Information Sheet'!$D$13,'Information Sheet'!$F$10*'Repayment Schedule'!C76),"")</f>
        <v/>
      </c>
      <c r="E76" s="16" t="str">
        <f t="shared" si="1"/>
        <v/>
      </c>
      <c r="F76" s="16" t="str">
        <f>IFERROR(-IPMT('Information Sheet'!$D$8/'Information Sheet'!$E$10,'Repayment Schedule'!C76,'Information Sheet'!$D$9*'Information Sheet'!$E$10,'Information Sheet'!$J$9),"")</f>
        <v/>
      </c>
      <c r="G76" s="16" t="str">
        <f>IFERROR(-PPMT('Information Sheet'!$D$8/'Information Sheet'!$E$10,'Repayment Schedule'!C76,'Information Sheet'!$D$9*'Information Sheet'!$E$10,'Information Sheet'!$J$9),"")</f>
        <v/>
      </c>
      <c r="H76" s="16" t="str">
        <f>IF(C76="","",-PMT('Information Sheet'!$D$8/'Information Sheet'!$E$10,'Information Sheet'!$D$9*'Information Sheet'!$E$10,'Information Sheet'!$J$9))</f>
        <v/>
      </c>
    </row>
    <row r="77" spans="3:8" x14ac:dyDescent="0.3">
      <c r="C77" s="1" t="str">
        <f>IF(C76&lt;'Information Sheet'!$J$11,'Repayment Schedule'!C76+1,"")</f>
        <v/>
      </c>
      <c r="D77" s="15" t="str">
        <f>IFERROR(EDATE('Information Sheet'!$D$13,'Information Sheet'!$F$10*'Repayment Schedule'!C77),"")</f>
        <v/>
      </c>
      <c r="E77" s="16" t="str">
        <f t="shared" si="1"/>
        <v/>
      </c>
      <c r="F77" s="16" t="str">
        <f>IFERROR(-IPMT('Information Sheet'!$D$8/'Information Sheet'!$E$10,'Repayment Schedule'!C77,'Information Sheet'!$D$9*'Information Sheet'!$E$10,'Information Sheet'!$J$9),"")</f>
        <v/>
      </c>
      <c r="G77" s="16" t="str">
        <f>IFERROR(-PPMT('Information Sheet'!$D$8/'Information Sheet'!$E$10,'Repayment Schedule'!C77,'Information Sheet'!$D$9*'Information Sheet'!$E$10,'Information Sheet'!$J$9),"")</f>
        <v/>
      </c>
      <c r="H77" s="16" t="str">
        <f>IF(C77="","",-PMT('Information Sheet'!$D$8/'Information Sheet'!$E$10,'Information Sheet'!$D$9*'Information Sheet'!$E$10,'Information Sheet'!$J$9))</f>
        <v/>
      </c>
    </row>
    <row r="78" spans="3:8" x14ac:dyDescent="0.3">
      <c r="C78" s="1" t="str">
        <f>IF(C77&lt;'Information Sheet'!$J$11,'Repayment Schedule'!C77+1,"")</f>
        <v/>
      </c>
      <c r="D78" s="15" t="str">
        <f>IFERROR(EDATE('Information Sheet'!$D$13,'Information Sheet'!$F$10*'Repayment Schedule'!C78),"")</f>
        <v/>
      </c>
      <c r="E78" s="16" t="str">
        <f t="shared" si="1"/>
        <v/>
      </c>
      <c r="F78" s="16" t="str">
        <f>IFERROR(-IPMT('Information Sheet'!$D$8/'Information Sheet'!$E$10,'Repayment Schedule'!C78,'Information Sheet'!$D$9*'Information Sheet'!$E$10,'Information Sheet'!$J$9),"")</f>
        <v/>
      </c>
      <c r="G78" s="16" t="str">
        <f>IFERROR(-PPMT('Information Sheet'!$D$8/'Information Sheet'!$E$10,'Repayment Schedule'!C78,'Information Sheet'!$D$9*'Information Sheet'!$E$10,'Information Sheet'!$J$9),"")</f>
        <v/>
      </c>
      <c r="H78" s="16" t="str">
        <f>IF(C78="","",-PMT('Information Sheet'!$D$8/'Information Sheet'!$E$10,'Information Sheet'!$D$9*'Information Sheet'!$E$10,'Information Sheet'!$J$9))</f>
        <v/>
      </c>
    </row>
    <row r="79" spans="3:8" x14ac:dyDescent="0.3">
      <c r="C79" s="1" t="str">
        <f>IF(C78&lt;'Information Sheet'!$J$11,'Repayment Schedule'!C78+1,"")</f>
        <v/>
      </c>
      <c r="D79" s="15" t="str">
        <f>IFERROR(EDATE('Information Sheet'!$D$13,'Information Sheet'!$F$10*'Repayment Schedule'!C79),"")</f>
        <v/>
      </c>
      <c r="E79" s="16" t="str">
        <f t="shared" si="1"/>
        <v/>
      </c>
      <c r="F79" s="16" t="str">
        <f>IFERROR(-IPMT('Information Sheet'!$D$8/'Information Sheet'!$E$10,'Repayment Schedule'!C79,'Information Sheet'!$D$9*'Information Sheet'!$E$10,'Information Sheet'!$J$9),"")</f>
        <v/>
      </c>
      <c r="G79" s="16" t="str">
        <f>IFERROR(-PPMT('Information Sheet'!$D$8/'Information Sheet'!$E$10,'Repayment Schedule'!C79,'Information Sheet'!$D$9*'Information Sheet'!$E$10,'Information Sheet'!$J$9),"")</f>
        <v/>
      </c>
      <c r="H79" s="16" t="str">
        <f>IF(C79="","",-PMT('Information Sheet'!$D$8/'Information Sheet'!$E$10,'Information Sheet'!$D$9*'Information Sheet'!$E$10,'Information Sheet'!$J$9))</f>
        <v/>
      </c>
    </row>
    <row r="80" spans="3:8" x14ac:dyDescent="0.3">
      <c r="C80" s="1" t="str">
        <f>IF(C79&lt;'Information Sheet'!$J$11,'Repayment Schedule'!C79+1,"")</f>
        <v/>
      </c>
      <c r="D80" s="15" t="str">
        <f>IFERROR(EDATE('Information Sheet'!$D$13,'Information Sheet'!$F$10*'Repayment Schedule'!C80),"")</f>
        <v/>
      </c>
      <c r="E80" s="16" t="str">
        <f t="shared" si="1"/>
        <v/>
      </c>
      <c r="F80" s="16" t="str">
        <f>IFERROR(-IPMT('Information Sheet'!$D$8/'Information Sheet'!$E$10,'Repayment Schedule'!C80,'Information Sheet'!$D$9*'Information Sheet'!$E$10,'Information Sheet'!$J$9),"")</f>
        <v/>
      </c>
      <c r="G80" s="16" t="str">
        <f>IFERROR(-PPMT('Information Sheet'!$D$8/'Information Sheet'!$E$10,'Repayment Schedule'!C80,'Information Sheet'!$D$9*'Information Sheet'!$E$10,'Information Sheet'!$J$9),"")</f>
        <v/>
      </c>
      <c r="H80" s="16" t="str">
        <f>IF(C80="","",-PMT('Information Sheet'!$D$8/'Information Sheet'!$E$10,'Information Sheet'!$D$9*'Information Sheet'!$E$10,'Information Sheet'!$J$9))</f>
        <v/>
      </c>
    </row>
    <row r="81" spans="3:8" x14ac:dyDescent="0.3">
      <c r="C81" s="1" t="str">
        <f>IF(C80&lt;'Information Sheet'!$J$11,'Repayment Schedule'!C80+1,"")</f>
        <v/>
      </c>
      <c r="D81" s="15" t="str">
        <f>IFERROR(EDATE('Information Sheet'!$D$13,'Information Sheet'!$F$10*'Repayment Schedule'!C81),"")</f>
        <v/>
      </c>
      <c r="E81" s="16" t="str">
        <f t="shared" si="1"/>
        <v/>
      </c>
      <c r="F81" s="16" t="str">
        <f>IFERROR(-IPMT('Information Sheet'!$D$8/'Information Sheet'!$E$10,'Repayment Schedule'!C81,'Information Sheet'!$D$9*'Information Sheet'!$E$10,'Information Sheet'!$J$9),"")</f>
        <v/>
      </c>
      <c r="G81" s="16" t="str">
        <f>IFERROR(-PPMT('Information Sheet'!$D$8/'Information Sheet'!$E$10,'Repayment Schedule'!C81,'Information Sheet'!$D$9*'Information Sheet'!$E$10,'Information Sheet'!$J$9),"")</f>
        <v/>
      </c>
      <c r="H81" s="16" t="str">
        <f>IF(C81="","",-PMT('Information Sheet'!$D$8/'Information Sheet'!$E$10,'Information Sheet'!$D$9*'Information Sheet'!$E$10,'Information Sheet'!$J$9))</f>
        <v/>
      </c>
    </row>
    <row r="82" spans="3:8" x14ac:dyDescent="0.3">
      <c r="C82" s="1" t="str">
        <f>IF(C81&lt;'Information Sheet'!$J$11,'Repayment Schedule'!C81+1,"")</f>
        <v/>
      </c>
      <c r="D82" s="15" t="str">
        <f>IFERROR(EDATE('Information Sheet'!$D$13,'Information Sheet'!$F$10*'Repayment Schedule'!C82),"")</f>
        <v/>
      </c>
      <c r="E82" s="16" t="str">
        <f t="shared" si="1"/>
        <v/>
      </c>
      <c r="F82" s="16" t="str">
        <f>IFERROR(-IPMT('Information Sheet'!$D$8/'Information Sheet'!$E$10,'Repayment Schedule'!C82,'Information Sheet'!$D$9*'Information Sheet'!$E$10,'Information Sheet'!$J$9),"")</f>
        <v/>
      </c>
      <c r="G82" s="16" t="str">
        <f>IFERROR(-PPMT('Information Sheet'!$D$8/'Information Sheet'!$E$10,'Repayment Schedule'!C82,'Information Sheet'!$D$9*'Information Sheet'!$E$10,'Information Sheet'!$J$9),"")</f>
        <v/>
      </c>
      <c r="H82" s="16" t="str">
        <f>IF(C82="","",-PMT('Information Sheet'!$D$8/'Information Sheet'!$E$10,'Information Sheet'!$D$9*'Information Sheet'!$E$10,'Information Sheet'!$J$9))</f>
        <v/>
      </c>
    </row>
    <row r="83" spans="3:8" x14ac:dyDescent="0.3">
      <c r="C83" s="1" t="str">
        <f>IF(C82&lt;'Information Sheet'!$J$11,'Repayment Schedule'!C82+1,"")</f>
        <v/>
      </c>
      <c r="D83" s="15" t="str">
        <f>IFERROR(EDATE('Information Sheet'!$D$13,'Information Sheet'!$F$10*'Repayment Schedule'!C83),"")</f>
        <v/>
      </c>
      <c r="E83" s="16" t="str">
        <f t="shared" si="1"/>
        <v/>
      </c>
      <c r="F83" s="16" t="str">
        <f>IFERROR(-IPMT('Information Sheet'!$D$8/'Information Sheet'!$E$10,'Repayment Schedule'!C83,'Information Sheet'!$D$9*'Information Sheet'!$E$10,'Information Sheet'!$J$9),"")</f>
        <v/>
      </c>
      <c r="G83" s="16" t="str">
        <f>IFERROR(-PPMT('Information Sheet'!$D$8/'Information Sheet'!$E$10,'Repayment Schedule'!C83,'Information Sheet'!$D$9*'Information Sheet'!$E$10,'Information Sheet'!$J$9),"")</f>
        <v/>
      </c>
      <c r="H83" s="16" t="str">
        <f>IF(C83="","",-PMT('Information Sheet'!$D$8/'Information Sheet'!$E$10,'Information Sheet'!$D$9*'Information Sheet'!$E$10,'Information Sheet'!$J$9))</f>
        <v/>
      </c>
    </row>
    <row r="84" spans="3:8" x14ac:dyDescent="0.3">
      <c r="C84" s="1" t="str">
        <f>IF(C83&lt;'Information Sheet'!$J$11,'Repayment Schedule'!C83+1,"")</f>
        <v/>
      </c>
      <c r="D84" s="15" t="str">
        <f>IFERROR(EDATE('Information Sheet'!$D$13,'Information Sheet'!$F$10*'Repayment Schedule'!C84),"")</f>
        <v/>
      </c>
      <c r="E84" s="16" t="str">
        <f t="shared" si="1"/>
        <v/>
      </c>
      <c r="F84" s="16" t="str">
        <f>IFERROR(-IPMT('Information Sheet'!$D$8/'Information Sheet'!$E$10,'Repayment Schedule'!C84,'Information Sheet'!$D$9*'Information Sheet'!$E$10,'Information Sheet'!$J$9),"")</f>
        <v/>
      </c>
      <c r="G84" s="16" t="str">
        <f>IFERROR(-PPMT('Information Sheet'!$D$8/'Information Sheet'!$E$10,'Repayment Schedule'!C84,'Information Sheet'!$D$9*'Information Sheet'!$E$10,'Information Sheet'!$J$9),"")</f>
        <v/>
      </c>
      <c r="H84" s="16" t="str">
        <f>IF(C84="","",-PMT('Information Sheet'!$D$8/'Information Sheet'!$E$10,'Information Sheet'!$D$9*'Information Sheet'!$E$10,'Information Sheet'!$J$9))</f>
        <v/>
      </c>
    </row>
    <row r="85" spans="3:8" x14ac:dyDescent="0.3">
      <c r="C85" s="1" t="str">
        <f>IF(C84&lt;'Information Sheet'!$J$11,'Repayment Schedule'!C84+1,"")</f>
        <v/>
      </c>
      <c r="D85" s="15" t="str">
        <f>IFERROR(EDATE('Information Sheet'!$D$13,'Information Sheet'!$F$10*'Repayment Schedule'!C85),"")</f>
        <v/>
      </c>
      <c r="E85" s="16" t="str">
        <f t="shared" si="1"/>
        <v/>
      </c>
      <c r="F85" s="16" t="str">
        <f>IFERROR(-IPMT('Information Sheet'!$D$8/'Information Sheet'!$E$10,'Repayment Schedule'!C85,'Information Sheet'!$D$9*'Information Sheet'!$E$10,'Information Sheet'!$J$9),"")</f>
        <v/>
      </c>
      <c r="G85" s="16" t="str">
        <f>IFERROR(-PPMT('Information Sheet'!$D$8/'Information Sheet'!$E$10,'Repayment Schedule'!C85,'Information Sheet'!$D$9*'Information Sheet'!$E$10,'Information Sheet'!$J$9),"")</f>
        <v/>
      </c>
      <c r="H85" s="16" t="str">
        <f>IF(C85="","",-PMT('Information Sheet'!$D$8/'Information Sheet'!$E$10,'Information Sheet'!$D$9*'Information Sheet'!$E$10,'Information Sheet'!$J$9))</f>
        <v/>
      </c>
    </row>
    <row r="86" spans="3:8" x14ac:dyDescent="0.3">
      <c r="C86" s="1" t="str">
        <f>IF(C85&lt;'Information Sheet'!$J$11,'Repayment Schedule'!C85+1,"")</f>
        <v/>
      </c>
      <c r="D86" s="15" t="str">
        <f>IFERROR(EDATE('Information Sheet'!$D$13,'Information Sheet'!$F$10*'Repayment Schedule'!C86),"")</f>
        <v/>
      </c>
      <c r="E86" s="16" t="str">
        <f t="shared" si="1"/>
        <v/>
      </c>
      <c r="F86" s="16" t="str">
        <f>IFERROR(-IPMT('Information Sheet'!$D$8/'Information Sheet'!$E$10,'Repayment Schedule'!C86,'Information Sheet'!$D$9*'Information Sheet'!$E$10,'Information Sheet'!$J$9),"")</f>
        <v/>
      </c>
      <c r="G86" s="16" t="str">
        <f>IFERROR(-PPMT('Information Sheet'!$D$8/'Information Sheet'!$E$10,'Repayment Schedule'!C86,'Information Sheet'!$D$9*'Information Sheet'!$E$10,'Information Sheet'!$J$9),"")</f>
        <v/>
      </c>
      <c r="H86" s="16" t="str">
        <f>IF(C86="","",-PMT('Information Sheet'!$D$8/'Information Sheet'!$E$10,'Information Sheet'!$D$9*'Information Sheet'!$E$10,'Information Sheet'!$J$9))</f>
        <v/>
      </c>
    </row>
    <row r="87" spans="3:8" x14ac:dyDescent="0.3">
      <c r="C87" s="1" t="str">
        <f>IF(C86&lt;'Information Sheet'!$J$11,'Repayment Schedule'!C86+1,"")</f>
        <v/>
      </c>
      <c r="D87" s="15" t="str">
        <f>IFERROR(EDATE('Information Sheet'!$D$13,'Information Sheet'!$F$10*'Repayment Schedule'!C87),"")</f>
        <v/>
      </c>
      <c r="E87" s="16" t="str">
        <f t="shared" si="1"/>
        <v/>
      </c>
      <c r="F87" s="16" t="str">
        <f>IFERROR(-IPMT('Information Sheet'!$D$8/'Information Sheet'!$E$10,'Repayment Schedule'!C87,'Information Sheet'!$D$9*'Information Sheet'!$E$10,'Information Sheet'!$J$9),"")</f>
        <v/>
      </c>
      <c r="G87" s="16" t="str">
        <f>IFERROR(-PPMT('Information Sheet'!$D$8/'Information Sheet'!$E$10,'Repayment Schedule'!C87,'Information Sheet'!$D$9*'Information Sheet'!$E$10,'Information Sheet'!$J$9),"")</f>
        <v/>
      </c>
      <c r="H87" s="16" t="str">
        <f>IF(C87="","",-PMT('Information Sheet'!$D$8/'Information Sheet'!$E$10,'Information Sheet'!$D$9*'Information Sheet'!$E$10,'Information Sheet'!$J$9))</f>
        <v/>
      </c>
    </row>
    <row r="88" spans="3:8" x14ac:dyDescent="0.3">
      <c r="C88" s="1" t="str">
        <f>IF(C87&lt;'Information Sheet'!$J$11,'Repayment Schedule'!C87+1,"")</f>
        <v/>
      </c>
      <c r="D88" s="15" t="str">
        <f>IFERROR(EDATE('Information Sheet'!$D$13,'Information Sheet'!$F$10*'Repayment Schedule'!C88),"")</f>
        <v/>
      </c>
      <c r="E88" s="16" t="str">
        <f t="shared" si="1"/>
        <v/>
      </c>
      <c r="F88" s="16" t="str">
        <f>IFERROR(-IPMT('Information Sheet'!$D$8/'Information Sheet'!$E$10,'Repayment Schedule'!C88,'Information Sheet'!$D$9*'Information Sheet'!$E$10,'Information Sheet'!$J$9),"")</f>
        <v/>
      </c>
      <c r="G88" s="16" t="str">
        <f>IFERROR(-PPMT('Information Sheet'!$D$8/'Information Sheet'!$E$10,'Repayment Schedule'!C88,'Information Sheet'!$D$9*'Information Sheet'!$E$10,'Information Sheet'!$J$9),"")</f>
        <v/>
      </c>
      <c r="H88" s="16" t="str">
        <f>IF(C88="","",-PMT('Information Sheet'!$D$8/'Information Sheet'!$E$10,'Information Sheet'!$D$9*'Information Sheet'!$E$10,'Information Sheet'!$J$9))</f>
        <v/>
      </c>
    </row>
    <row r="89" spans="3:8" x14ac:dyDescent="0.3">
      <c r="C89" s="1" t="str">
        <f>IF(C88&lt;'Information Sheet'!$J$11,'Repayment Schedule'!C88+1,"")</f>
        <v/>
      </c>
      <c r="D89" s="15" t="str">
        <f>IFERROR(EDATE('Information Sheet'!$D$13,'Information Sheet'!$F$10*'Repayment Schedule'!C89),"")</f>
        <v/>
      </c>
      <c r="E89" s="16" t="str">
        <f t="shared" si="1"/>
        <v/>
      </c>
      <c r="F89" s="16" t="str">
        <f>IFERROR(-IPMT('Information Sheet'!$D$8/'Information Sheet'!$E$10,'Repayment Schedule'!C89,'Information Sheet'!$D$9*'Information Sheet'!$E$10,'Information Sheet'!$J$9),"")</f>
        <v/>
      </c>
      <c r="G89" s="16" t="str">
        <f>IFERROR(-PPMT('Information Sheet'!$D$8/'Information Sheet'!$E$10,'Repayment Schedule'!C89,'Information Sheet'!$D$9*'Information Sheet'!$E$10,'Information Sheet'!$J$9),"")</f>
        <v/>
      </c>
      <c r="H89" s="16" t="str">
        <f>IF(C89="","",-PMT('Information Sheet'!$D$8/'Information Sheet'!$E$10,'Information Sheet'!$D$9*'Information Sheet'!$E$10,'Information Sheet'!$J$9))</f>
        <v/>
      </c>
    </row>
    <row r="90" spans="3:8" x14ac:dyDescent="0.3">
      <c r="C90" s="1" t="str">
        <f>IF(C89&lt;'Information Sheet'!$J$11,'Repayment Schedule'!C89+1,"")</f>
        <v/>
      </c>
      <c r="D90" s="15" t="str">
        <f>IFERROR(EDATE('Information Sheet'!$D$13,'Information Sheet'!$F$10*'Repayment Schedule'!C90),"")</f>
        <v/>
      </c>
      <c r="E90" s="16" t="str">
        <f t="shared" si="1"/>
        <v/>
      </c>
      <c r="F90" s="16" t="str">
        <f>IFERROR(-IPMT('Information Sheet'!$D$8/'Information Sheet'!$E$10,'Repayment Schedule'!C90,'Information Sheet'!$D$9*'Information Sheet'!$E$10,'Information Sheet'!$J$9),"")</f>
        <v/>
      </c>
      <c r="G90" s="16" t="str">
        <f>IFERROR(-PPMT('Information Sheet'!$D$8/'Information Sheet'!$E$10,'Repayment Schedule'!C90,'Information Sheet'!$D$9*'Information Sheet'!$E$10,'Information Sheet'!$J$9),"")</f>
        <v/>
      </c>
      <c r="H90" s="16" t="str">
        <f>IF(C90="","",-PMT('Information Sheet'!$D$8/'Information Sheet'!$E$10,'Information Sheet'!$D$9*'Information Sheet'!$E$10,'Information Sheet'!$J$9))</f>
        <v/>
      </c>
    </row>
    <row r="91" spans="3:8" x14ac:dyDescent="0.3">
      <c r="C91" s="1" t="str">
        <f>IF(C90&lt;'Information Sheet'!$J$11,'Repayment Schedule'!C90+1,"")</f>
        <v/>
      </c>
      <c r="D91" s="15" t="str">
        <f>IFERROR(EDATE('Information Sheet'!$D$13,'Information Sheet'!$F$10*'Repayment Schedule'!C91),"")</f>
        <v/>
      </c>
      <c r="E91" s="16" t="str">
        <f t="shared" si="1"/>
        <v/>
      </c>
      <c r="F91" s="16" t="str">
        <f>IFERROR(-IPMT('Information Sheet'!$D$8/'Information Sheet'!$E$10,'Repayment Schedule'!C91,'Information Sheet'!$D$9*'Information Sheet'!$E$10,'Information Sheet'!$J$9),"")</f>
        <v/>
      </c>
      <c r="G91" s="16" t="str">
        <f>IFERROR(-PPMT('Information Sheet'!$D$8/'Information Sheet'!$E$10,'Repayment Schedule'!C91,'Information Sheet'!$D$9*'Information Sheet'!$E$10,'Information Sheet'!$J$9),"")</f>
        <v/>
      </c>
      <c r="H91" s="16" t="str">
        <f>IF(C91="","",-PMT('Information Sheet'!$D$8/'Information Sheet'!$E$10,'Information Sheet'!$D$9*'Information Sheet'!$E$10,'Information Sheet'!$J$9))</f>
        <v/>
      </c>
    </row>
    <row r="92" spans="3:8" x14ac:dyDescent="0.3">
      <c r="C92" s="1" t="str">
        <f>IF(C91&lt;'Information Sheet'!$J$11,'Repayment Schedule'!C91+1,"")</f>
        <v/>
      </c>
      <c r="D92" s="15" t="str">
        <f>IFERROR(EDATE('Information Sheet'!$D$13,'Information Sheet'!$F$10*'Repayment Schedule'!C92),"")</f>
        <v/>
      </c>
      <c r="E92" s="16" t="str">
        <f t="shared" si="1"/>
        <v/>
      </c>
      <c r="F92" s="16" t="str">
        <f>IFERROR(-IPMT('Information Sheet'!$D$8/'Information Sheet'!$E$10,'Repayment Schedule'!C92,'Information Sheet'!$D$9*'Information Sheet'!$E$10,'Information Sheet'!$J$9),"")</f>
        <v/>
      </c>
      <c r="G92" s="16" t="str">
        <f>IFERROR(-PPMT('Information Sheet'!$D$8/'Information Sheet'!$E$10,'Repayment Schedule'!C92,'Information Sheet'!$D$9*'Information Sheet'!$E$10,'Information Sheet'!$J$9),"")</f>
        <v/>
      </c>
      <c r="H92" s="16" t="str">
        <f>IF(C92="","",-PMT('Information Sheet'!$D$8/'Information Sheet'!$E$10,'Information Sheet'!$D$9*'Information Sheet'!$E$10,'Information Sheet'!$J$9))</f>
        <v/>
      </c>
    </row>
    <row r="93" spans="3:8" x14ac:dyDescent="0.3">
      <c r="C93" s="1" t="str">
        <f>IF(C92&lt;'Information Sheet'!$J$11,'Repayment Schedule'!C92+1,"")</f>
        <v/>
      </c>
      <c r="D93" s="15" t="str">
        <f>IFERROR(EDATE('Information Sheet'!$D$13,'Information Sheet'!$F$10*'Repayment Schedule'!C93),"")</f>
        <v/>
      </c>
      <c r="E93" s="16" t="str">
        <f t="shared" si="1"/>
        <v/>
      </c>
      <c r="F93" s="16" t="str">
        <f>IFERROR(-IPMT('Information Sheet'!$D$8/'Information Sheet'!$E$10,'Repayment Schedule'!C93,'Information Sheet'!$D$9*'Information Sheet'!$E$10,'Information Sheet'!$J$9),"")</f>
        <v/>
      </c>
      <c r="G93" s="16" t="str">
        <f>IFERROR(-PPMT('Information Sheet'!$D$8/'Information Sheet'!$E$10,'Repayment Schedule'!C93,'Information Sheet'!$D$9*'Information Sheet'!$E$10,'Information Sheet'!$J$9),"")</f>
        <v/>
      </c>
      <c r="H93" s="16" t="str">
        <f>IF(C93="","",-PMT('Information Sheet'!$D$8/'Information Sheet'!$E$10,'Information Sheet'!$D$9*'Information Sheet'!$E$10,'Information Sheet'!$J$9))</f>
        <v/>
      </c>
    </row>
    <row r="94" spans="3:8" x14ac:dyDescent="0.3">
      <c r="C94" s="1" t="str">
        <f>IF(C93&lt;'Information Sheet'!$J$11,'Repayment Schedule'!C93+1,"")</f>
        <v/>
      </c>
      <c r="D94" s="15" t="str">
        <f>IFERROR(EDATE('Information Sheet'!$D$13,'Information Sheet'!$F$10*'Repayment Schedule'!C94),"")</f>
        <v/>
      </c>
      <c r="E94" s="16" t="str">
        <f t="shared" si="1"/>
        <v/>
      </c>
      <c r="F94" s="16" t="str">
        <f>IFERROR(-IPMT('Information Sheet'!$D$8/'Information Sheet'!$E$10,'Repayment Schedule'!C94,'Information Sheet'!$D$9*'Information Sheet'!$E$10,'Information Sheet'!$J$9),"")</f>
        <v/>
      </c>
      <c r="G94" s="16" t="str">
        <f>IFERROR(-PPMT('Information Sheet'!$D$8/'Information Sheet'!$E$10,'Repayment Schedule'!C94,'Information Sheet'!$D$9*'Information Sheet'!$E$10,'Information Sheet'!$J$9),"")</f>
        <v/>
      </c>
      <c r="H94" s="16" t="str">
        <f>IF(C94="","",-PMT('Information Sheet'!$D$8/'Information Sheet'!$E$10,'Information Sheet'!$D$9*'Information Sheet'!$E$10,'Information Sheet'!$J$9))</f>
        <v/>
      </c>
    </row>
    <row r="95" spans="3:8" x14ac:dyDescent="0.3">
      <c r="C95" s="1" t="str">
        <f>IF(C94&lt;'Information Sheet'!$J$11,'Repayment Schedule'!C94+1,"")</f>
        <v/>
      </c>
      <c r="D95" s="15" t="str">
        <f>IFERROR(EDATE('Information Sheet'!$D$13,'Information Sheet'!$F$10*'Repayment Schedule'!C95),"")</f>
        <v/>
      </c>
      <c r="E95" s="16" t="str">
        <f t="shared" si="1"/>
        <v/>
      </c>
      <c r="F95" s="16" t="str">
        <f>IFERROR(-IPMT('Information Sheet'!$D$8/'Information Sheet'!$E$10,'Repayment Schedule'!C95,'Information Sheet'!$D$9*'Information Sheet'!$E$10,'Information Sheet'!$J$9),"")</f>
        <v/>
      </c>
      <c r="G95" s="16" t="str">
        <f>IFERROR(-PPMT('Information Sheet'!$D$8/'Information Sheet'!$E$10,'Repayment Schedule'!C95,'Information Sheet'!$D$9*'Information Sheet'!$E$10,'Information Sheet'!$J$9),"")</f>
        <v/>
      </c>
      <c r="H95" s="16" t="str">
        <f>IF(C95="","",-PMT('Information Sheet'!$D$8/'Information Sheet'!$E$10,'Information Sheet'!$D$9*'Information Sheet'!$E$10,'Information Sheet'!$J$9))</f>
        <v/>
      </c>
    </row>
    <row r="96" spans="3:8" x14ac:dyDescent="0.3">
      <c r="C96" s="1" t="str">
        <f>IF(C95&lt;'Information Sheet'!$J$11,'Repayment Schedule'!C95+1,"")</f>
        <v/>
      </c>
      <c r="D96" s="15" t="str">
        <f>IFERROR(EDATE('Information Sheet'!$D$13,'Information Sheet'!$F$10*'Repayment Schedule'!C96),"")</f>
        <v/>
      </c>
      <c r="E96" s="16" t="str">
        <f t="shared" si="1"/>
        <v/>
      </c>
      <c r="F96" s="16" t="str">
        <f>IFERROR(-IPMT('Information Sheet'!$D$8/'Information Sheet'!$E$10,'Repayment Schedule'!C96,'Information Sheet'!$D$9*'Information Sheet'!$E$10,'Information Sheet'!$J$9),"")</f>
        <v/>
      </c>
      <c r="G96" s="16" t="str">
        <f>IFERROR(-PPMT('Information Sheet'!$D$8/'Information Sheet'!$E$10,'Repayment Schedule'!C96,'Information Sheet'!$D$9*'Information Sheet'!$E$10,'Information Sheet'!$J$9),"")</f>
        <v/>
      </c>
      <c r="H96" s="16" t="str">
        <f>IF(C96="","",-PMT('Information Sheet'!$D$8/'Information Sheet'!$E$10,'Information Sheet'!$D$9*'Information Sheet'!$E$10,'Information Sheet'!$J$9))</f>
        <v/>
      </c>
    </row>
    <row r="97" spans="3:8" x14ac:dyDescent="0.3">
      <c r="C97" s="1" t="str">
        <f>IF(C96&lt;'Information Sheet'!$J$11,'Repayment Schedule'!C96+1,"")</f>
        <v/>
      </c>
      <c r="D97" s="15" t="str">
        <f>IFERROR(EDATE('Information Sheet'!$D$13,'Information Sheet'!$F$10*'Repayment Schedule'!C97),"")</f>
        <v/>
      </c>
      <c r="E97" s="16" t="str">
        <f t="shared" si="1"/>
        <v/>
      </c>
      <c r="F97" s="16" t="str">
        <f>IFERROR(-IPMT('Information Sheet'!$D$8/'Information Sheet'!$E$10,'Repayment Schedule'!C97,'Information Sheet'!$D$9*'Information Sheet'!$E$10,'Information Sheet'!$J$9),"")</f>
        <v/>
      </c>
      <c r="G97" s="16" t="str">
        <f>IFERROR(-PPMT('Information Sheet'!$D$8/'Information Sheet'!$E$10,'Repayment Schedule'!C97,'Information Sheet'!$D$9*'Information Sheet'!$E$10,'Information Sheet'!$J$9),"")</f>
        <v/>
      </c>
      <c r="H97" s="16" t="str">
        <f>IF(C97="","",-PMT('Information Sheet'!$D$8/'Information Sheet'!$E$10,'Information Sheet'!$D$9*'Information Sheet'!$E$10,'Information Sheet'!$J$9))</f>
        <v/>
      </c>
    </row>
    <row r="98" spans="3:8" x14ac:dyDescent="0.3">
      <c r="C98" s="1" t="str">
        <f>IF(C97&lt;'Information Sheet'!$J$11,'Repayment Schedule'!C97+1,"")</f>
        <v/>
      </c>
      <c r="D98" s="15" t="str">
        <f>IFERROR(EDATE('Information Sheet'!$D$13,'Information Sheet'!$F$10*'Repayment Schedule'!C98),"")</f>
        <v/>
      </c>
      <c r="E98" s="16" t="str">
        <f t="shared" si="1"/>
        <v/>
      </c>
      <c r="F98" s="16" t="str">
        <f>IFERROR(-IPMT('Information Sheet'!$D$8/'Information Sheet'!$E$10,'Repayment Schedule'!C98,'Information Sheet'!$D$9*'Information Sheet'!$E$10,'Information Sheet'!$J$9),"")</f>
        <v/>
      </c>
      <c r="G98" s="16" t="str">
        <f>IFERROR(-PPMT('Information Sheet'!$D$8/'Information Sheet'!$E$10,'Repayment Schedule'!C98,'Information Sheet'!$D$9*'Information Sheet'!$E$10,'Information Sheet'!$J$9),"")</f>
        <v/>
      </c>
      <c r="H98" s="16" t="str">
        <f>IF(C98="","",-PMT('Information Sheet'!$D$8/'Information Sheet'!$E$10,'Information Sheet'!$D$9*'Information Sheet'!$E$10,'Information Sheet'!$J$9))</f>
        <v/>
      </c>
    </row>
    <row r="99" spans="3:8" x14ac:dyDescent="0.3">
      <c r="C99" s="1" t="str">
        <f>IF(C98&lt;'Information Sheet'!$J$11,'Repayment Schedule'!C98+1,"")</f>
        <v/>
      </c>
      <c r="D99" s="15" t="str">
        <f>IFERROR(EDATE('Information Sheet'!$D$13,'Information Sheet'!$F$10*'Repayment Schedule'!C99),"")</f>
        <v/>
      </c>
      <c r="E99" s="16" t="str">
        <f t="shared" si="1"/>
        <v/>
      </c>
      <c r="F99" s="16" t="str">
        <f>IFERROR(-IPMT('Information Sheet'!$D$8/'Information Sheet'!$E$10,'Repayment Schedule'!C99,'Information Sheet'!$D$9*'Information Sheet'!$E$10,'Information Sheet'!$J$9),"")</f>
        <v/>
      </c>
      <c r="G99" s="16" t="str">
        <f>IFERROR(-PPMT('Information Sheet'!$D$8/'Information Sheet'!$E$10,'Repayment Schedule'!C99,'Information Sheet'!$D$9*'Information Sheet'!$E$10,'Information Sheet'!$J$9),"")</f>
        <v/>
      </c>
      <c r="H99" s="16" t="str">
        <f>IF(C99="","",-PMT('Information Sheet'!$D$8/'Information Sheet'!$E$10,'Information Sheet'!$D$9*'Information Sheet'!$E$10,'Information Sheet'!$J$9))</f>
        <v/>
      </c>
    </row>
    <row r="100" spans="3:8" x14ac:dyDescent="0.3">
      <c r="C100" s="1" t="str">
        <f>IF(C99&lt;'Information Sheet'!$J$11,'Repayment Schedule'!C99+1,"")</f>
        <v/>
      </c>
      <c r="D100" s="15" t="str">
        <f>IFERROR(EDATE('Information Sheet'!$D$13,'Information Sheet'!$F$10*'Repayment Schedule'!C100),"")</f>
        <v/>
      </c>
      <c r="E100" s="16" t="str">
        <f t="shared" si="1"/>
        <v/>
      </c>
      <c r="F100" s="16" t="str">
        <f>IFERROR(-IPMT('Information Sheet'!$D$8/'Information Sheet'!$E$10,'Repayment Schedule'!C100,'Information Sheet'!$D$9*'Information Sheet'!$E$10,'Information Sheet'!$J$9),"")</f>
        <v/>
      </c>
      <c r="G100" s="16" t="str">
        <f>IFERROR(-PPMT('Information Sheet'!$D$8/'Information Sheet'!$E$10,'Repayment Schedule'!C100,'Information Sheet'!$D$9*'Information Sheet'!$E$10,'Information Sheet'!$J$9),"")</f>
        <v/>
      </c>
      <c r="H100" s="16" t="str">
        <f>IF(C100="","",-PMT('Information Sheet'!$D$8/'Information Sheet'!$E$10,'Information Sheet'!$D$9*'Information Sheet'!$E$10,'Information Sheet'!$J$9))</f>
        <v/>
      </c>
    </row>
    <row r="101" spans="3:8" x14ac:dyDescent="0.3">
      <c r="C101" s="1" t="str">
        <f>IF(C100&lt;'Information Sheet'!$J$11,'Repayment Schedule'!C100+1,"")</f>
        <v/>
      </c>
      <c r="D101" s="15" t="str">
        <f>IFERROR(EDATE('Information Sheet'!$D$13,'Information Sheet'!$F$10*'Repayment Schedule'!C101),"")</f>
        <v/>
      </c>
      <c r="E101" s="16" t="str">
        <f t="shared" si="1"/>
        <v/>
      </c>
      <c r="F101" s="16" t="str">
        <f>IFERROR(-IPMT('Information Sheet'!$D$8/'Information Sheet'!$E$10,'Repayment Schedule'!C101,'Information Sheet'!$D$9*'Information Sheet'!$E$10,'Information Sheet'!$J$9),"")</f>
        <v/>
      </c>
      <c r="G101" s="16" t="str">
        <f>IFERROR(-PPMT('Information Sheet'!$D$8/'Information Sheet'!$E$10,'Repayment Schedule'!C101,'Information Sheet'!$D$9*'Information Sheet'!$E$10,'Information Sheet'!$J$9),"")</f>
        <v/>
      </c>
      <c r="H101" s="16" t="str">
        <f>IF(C101="","",-PMT('Information Sheet'!$D$8/'Information Sheet'!$E$10,'Information Sheet'!$D$9*'Information Sheet'!$E$10,'Information Sheet'!$J$9))</f>
        <v/>
      </c>
    </row>
    <row r="102" spans="3:8" x14ac:dyDescent="0.3">
      <c r="C102" s="1" t="str">
        <f>IF(C101&lt;'Information Sheet'!$J$11,'Repayment Schedule'!C101+1,"")</f>
        <v/>
      </c>
      <c r="D102" s="15" t="str">
        <f>IFERROR(EDATE('Information Sheet'!$D$13,'Information Sheet'!$F$10*'Repayment Schedule'!C102),"")</f>
        <v/>
      </c>
      <c r="E102" s="16" t="str">
        <f t="shared" si="1"/>
        <v/>
      </c>
      <c r="F102" s="16" t="str">
        <f>IFERROR(-IPMT('Information Sheet'!$D$8/'Information Sheet'!$E$10,'Repayment Schedule'!C102,'Information Sheet'!$D$9*'Information Sheet'!$E$10,'Information Sheet'!$J$9),"")</f>
        <v/>
      </c>
      <c r="G102" s="16" t="str">
        <f>IFERROR(-PPMT('Information Sheet'!$D$8/'Information Sheet'!$E$10,'Repayment Schedule'!C102,'Information Sheet'!$D$9*'Information Sheet'!$E$10,'Information Sheet'!$J$9),"")</f>
        <v/>
      </c>
      <c r="H102" s="16" t="str">
        <f>IF(C102="","",-PMT('Information Sheet'!$D$8/'Information Sheet'!$E$10,'Information Sheet'!$D$9*'Information Sheet'!$E$10,'Information Sheet'!$J$9))</f>
        <v/>
      </c>
    </row>
    <row r="103" spans="3:8" x14ac:dyDescent="0.3">
      <c r="C103" s="1" t="str">
        <f>IF(C102&lt;'Information Sheet'!$J$11,'Repayment Schedule'!C102+1,"")</f>
        <v/>
      </c>
      <c r="D103" s="15" t="str">
        <f>IFERROR(EDATE('Information Sheet'!$D$13,'Information Sheet'!$F$10*'Repayment Schedule'!C103),"")</f>
        <v/>
      </c>
      <c r="E103" s="16" t="str">
        <f t="shared" si="1"/>
        <v/>
      </c>
      <c r="F103" s="16" t="str">
        <f>IFERROR(-IPMT('Information Sheet'!$D$8/'Information Sheet'!$E$10,'Repayment Schedule'!C103,'Information Sheet'!$D$9*'Information Sheet'!$E$10,'Information Sheet'!$J$9),"")</f>
        <v/>
      </c>
      <c r="G103" s="16" t="str">
        <f>IFERROR(-PPMT('Information Sheet'!$D$8/'Information Sheet'!$E$10,'Repayment Schedule'!C103,'Information Sheet'!$D$9*'Information Sheet'!$E$10,'Information Sheet'!$J$9),"")</f>
        <v/>
      </c>
      <c r="H103" s="16" t="str">
        <f>IF(C103="","",-PMT('Information Sheet'!$D$8/'Information Sheet'!$E$10,'Information Sheet'!$D$9*'Information Sheet'!$E$10,'Information Sheet'!$J$9))</f>
        <v/>
      </c>
    </row>
    <row r="104" spans="3:8" x14ac:dyDescent="0.3">
      <c r="C104" s="1" t="str">
        <f>IF(C103&lt;'Information Sheet'!$J$11,'Repayment Schedule'!C103+1,"")</f>
        <v/>
      </c>
      <c r="D104" s="15" t="str">
        <f>IFERROR(EDATE('Information Sheet'!$D$13,'Information Sheet'!$F$10*'Repayment Schedule'!C104),"")</f>
        <v/>
      </c>
      <c r="E104" s="16" t="str">
        <f t="shared" si="1"/>
        <v/>
      </c>
      <c r="F104" s="16" t="str">
        <f>IFERROR(-IPMT('Information Sheet'!$D$8/'Information Sheet'!$E$10,'Repayment Schedule'!C104,'Information Sheet'!$D$9*'Information Sheet'!$E$10,'Information Sheet'!$J$9),"")</f>
        <v/>
      </c>
      <c r="G104" s="16" t="str">
        <f>IFERROR(-PPMT('Information Sheet'!$D$8/'Information Sheet'!$E$10,'Repayment Schedule'!C104,'Information Sheet'!$D$9*'Information Sheet'!$E$10,'Information Sheet'!$J$9),"")</f>
        <v/>
      </c>
      <c r="H104" s="16" t="str">
        <f>IF(C104="","",-PMT('Information Sheet'!$D$8/'Information Sheet'!$E$10,'Information Sheet'!$D$9*'Information Sheet'!$E$10,'Information Sheet'!$J$9))</f>
        <v/>
      </c>
    </row>
    <row r="105" spans="3:8" x14ac:dyDescent="0.3">
      <c r="C105" s="1" t="str">
        <f>IF(C104&lt;'Information Sheet'!$J$11,'Repayment Schedule'!C104+1,"")</f>
        <v/>
      </c>
      <c r="D105" s="15" t="str">
        <f>IFERROR(EDATE('Information Sheet'!$D$13,'Information Sheet'!$F$10*'Repayment Schedule'!C105),"")</f>
        <v/>
      </c>
      <c r="E105" s="16" t="str">
        <f t="shared" si="1"/>
        <v/>
      </c>
      <c r="F105" s="16" t="str">
        <f>IFERROR(-IPMT('Information Sheet'!$D$8/'Information Sheet'!$E$10,'Repayment Schedule'!C105,'Information Sheet'!$D$9*'Information Sheet'!$E$10,'Information Sheet'!$J$9),"")</f>
        <v/>
      </c>
      <c r="G105" s="16" t="str">
        <f>IFERROR(-PPMT('Information Sheet'!$D$8/'Information Sheet'!$E$10,'Repayment Schedule'!C105,'Information Sheet'!$D$9*'Information Sheet'!$E$10,'Information Sheet'!$J$9),"")</f>
        <v/>
      </c>
      <c r="H105" s="16" t="str">
        <f>IF(C105="","",-PMT('Information Sheet'!$D$8/'Information Sheet'!$E$10,'Information Sheet'!$D$9*'Information Sheet'!$E$10,'Information Sheet'!$J$9))</f>
        <v/>
      </c>
    </row>
    <row r="106" spans="3:8" x14ac:dyDescent="0.3">
      <c r="C106" s="1" t="str">
        <f>IF(C105&lt;'Information Sheet'!$J$11,'Repayment Schedule'!C105+1,"")</f>
        <v/>
      </c>
      <c r="D106" s="15" t="str">
        <f>IFERROR(EDATE('Information Sheet'!$D$13,'Information Sheet'!$F$10*'Repayment Schedule'!C106),"")</f>
        <v/>
      </c>
      <c r="E106" s="16" t="str">
        <f t="shared" si="1"/>
        <v/>
      </c>
      <c r="F106" s="16" t="str">
        <f>IFERROR(-IPMT('Information Sheet'!$D$8/'Information Sheet'!$E$10,'Repayment Schedule'!C106,'Information Sheet'!$D$9*'Information Sheet'!$E$10,'Information Sheet'!$J$9),"")</f>
        <v/>
      </c>
      <c r="G106" s="16" t="str">
        <f>IFERROR(-PPMT('Information Sheet'!$D$8/'Information Sheet'!$E$10,'Repayment Schedule'!C106,'Information Sheet'!$D$9*'Information Sheet'!$E$10,'Information Sheet'!$J$9),"")</f>
        <v/>
      </c>
      <c r="H106" s="16" t="str">
        <f>IF(C106="","",-PMT('Information Sheet'!$D$8/'Information Sheet'!$E$10,'Information Sheet'!$D$9*'Information Sheet'!$E$10,'Information Sheet'!$J$9))</f>
        <v/>
      </c>
    </row>
    <row r="107" spans="3:8" x14ac:dyDescent="0.3">
      <c r="C107" s="1" t="str">
        <f>IF(C106&lt;'Information Sheet'!$J$11,'Repayment Schedule'!C106+1,"")</f>
        <v/>
      </c>
      <c r="D107" s="15" t="str">
        <f>IFERROR(EDATE('Information Sheet'!$D$13,'Information Sheet'!$F$10*'Repayment Schedule'!C107),"")</f>
        <v/>
      </c>
      <c r="E107" s="16" t="str">
        <f t="shared" si="1"/>
        <v/>
      </c>
      <c r="F107" s="16" t="str">
        <f>IFERROR(-IPMT('Information Sheet'!$D$8/'Information Sheet'!$E$10,'Repayment Schedule'!C107,'Information Sheet'!$D$9*'Information Sheet'!$E$10,'Information Sheet'!$J$9),"")</f>
        <v/>
      </c>
      <c r="G107" s="16" t="str">
        <f>IFERROR(-PPMT('Information Sheet'!$D$8/'Information Sheet'!$E$10,'Repayment Schedule'!C107,'Information Sheet'!$D$9*'Information Sheet'!$E$10,'Information Sheet'!$J$9),"")</f>
        <v/>
      </c>
      <c r="H107" s="16" t="str">
        <f>IF(C107="","",-PMT('Information Sheet'!$D$8/'Information Sheet'!$E$10,'Information Sheet'!$D$9*'Information Sheet'!$E$10,'Information Sheet'!$J$9))</f>
        <v/>
      </c>
    </row>
    <row r="108" spans="3:8" x14ac:dyDescent="0.3">
      <c r="C108" s="1" t="str">
        <f>IF(C107&lt;'Information Sheet'!$J$11,'Repayment Schedule'!C107+1,"")</f>
        <v/>
      </c>
      <c r="D108" s="15" t="str">
        <f>IFERROR(EDATE('Information Sheet'!$D$13,'Information Sheet'!$F$10*'Repayment Schedule'!C108),"")</f>
        <v/>
      </c>
      <c r="E108" s="16" t="str">
        <f t="shared" si="1"/>
        <v/>
      </c>
      <c r="F108" s="16" t="str">
        <f>IFERROR(-IPMT('Information Sheet'!$D$8/'Information Sheet'!$E$10,'Repayment Schedule'!C108,'Information Sheet'!$D$9*'Information Sheet'!$E$10,'Information Sheet'!$J$9),"")</f>
        <v/>
      </c>
      <c r="G108" s="16" t="str">
        <f>IFERROR(-PPMT('Information Sheet'!$D$8/'Information Sheet'!$E$10,'Repayment Schedule'!C108,'Information Sheet'!$D$9*'Information Sheet'!$E$10,'Information Sheet'!$J$9),"")</f>
        <v/>
      </c>
      <c r="H108" s="16" t="str">
        <f>IF(C108="","",-PMT('Information Sheet'!$D$8/'Information Sheet'!$E$10,'Information Sheet'!$D$9*'Information Sheet'!$E$10,'Information Sheet'!$J$9))</f>
        <v/>
      </c>
    </row>
    <row r="109" spans="3:8" x14ac:dyDescent="0.3">
      <c r="C109" s="1" t="str">
        <f>IF(C108&lt;'Information Sheet'!$J$11,'Repayment Schedule'!C108+1,"")</f>
        <v/>
      </c>
      <c r="D109" s="15" t="str">
        <f>IFERROR(EDATE('Information Sheet'!$D$13,'Information Sheet'!$F$10*'Repayment Schedule'!C109),"")</f>
        <v/>
      </c>
      <c r="E109" s="16" t="str">
        <f t="shared" si="1"/>
        <v/>
      </c>
      <c r="F109" s="16" t="str">
        <f>IFERROR(-IPMT('Information Sheet'!$D$8/'Information Sheet'!$E$10,'Repayment Schedule'!C109,'Information Sheet'!$D$9*'Information Sheet'!$E$10,'Information Sheet'!$J$9),"")</f>
        <v/>
      </c>
      <c r="G109" s="16" t="str">
        <f>IFERROR(-PPMT('Information Sheet'!$D$8/'Information Sheet'!$E$10,'Repayment Schedule'!C109,'Information Sheet'!$D$9*'Information Sheet'!$E$10,'Information Sheet'!$J$9),"")</f>
        <v/>
      </c>
      <c r="H109" s="16" t="str">
        <f>IF(C109="","",-PMT('Information Sheet'!$D$8/'Information Sheet'!$E$10,'Information Sheet'!$D$9*'Information Sheet'!$E$10,'Information Sheet'!$J$9))</f>
        <v/>
      </c>
    </row>
    <row r="110" spans="3:8" x14ac:dyDescent="0.3">
      <c r="C110" s="1" t="str">
        <f>IF(C109&lt;'Information Sheet'!$J$11,'Repayment Schedule'!C109+1,"")</f>
        <v/>
      </c>
      <c r="D110" s="15" t="str">
        <f>IFERROR(EDATE('Information Sheet'!$D$13,'Information Sheet'!$F$10*'Repayment Schedule'!C110),"")</f>
        <v/>
      </c>
      <c r="E110" s="16" t="str">
        <f t="shared" si="1"/>
        <v/>
      </c>
      <c r="F110" s="16" t="str">
        <f>IFERROR(-IPMT('Information Sheet'!$D$8/'Information Sheet'!$E$10,'Repayment Schedule'!C110,'Information Sheet'!$D$9*'Information Sheet'!$E$10,'Information Sheet'!$J$9),"")</f>
        <v/>
      </c>
      <c r="G110" s="16" t="str">
        <f>IFERROR(-PPMT('Information Sheet'!$D$8/'Information Sheet'!$E$10,'Repayment Schedule'!C110,'Information Sheet'!$D$9*'Information Sheet'!$E$10,'Information Sheet'!$J$9),"")</f>
        <v/>
      </c>
      <c r="H110" s="16" t="str">
        <f>IF(C110="","",-PMT('Information Sheet'!$D$8/'Information Sheet'!$E$10,'Information Sheet'!$D$9*'Information Sheet'!$E$10,'Information Sheet'!$J$9))</f>
        <v/>
      </c>
    </row>
    <row r="111" spans="3:8" x14ac:dyDescent="0.3">
      <c r="C111" s="1" t="str">
        <f>IF(C110&lt;'Information Sheet'!$J$11,'Repayment Schedule'!C110+1,"")</f>
        <v/>
      </c>
      <c r="D111" s="15" t="str">
        <f>IFERROR(EDATE('Information Sheet'!$D$13,'Information Sheet'!$F$10*'Repayment Schedule'!C111),"")</f>
        <v/>
      </c>
      <c r="E111" s="16" t="str">
        <f t="shared" si="1"/>
        <v/>
      </c>
      <c r="F111" s="16" t="str">
        <f>IFERROR(-IPMT('Information Sheet'!$D$8/'Information Sheet'!$E$10,'Repayment Schedule'!C111,'Information Sheet'!$D$9*'Information Sheet'!$E$10,'Information Sheet'!$J$9),"")</f>
        <v/>
      </c>
      <c r="G111" s="16" t="str">
        <f>IFERROR(-PPMT('Information Sheet'!$D$8/'Information Sheet'!$E$10,'Repayment Schedule'!C111,'Information Sheet'!$D$9*'Information Sheet'!$E$10,'Information Sheet'!$J$9),"")</f>
        <v/>
      </c>
      <c r="H111" s="16" t="str">
        <f>IF(C111="","",-PMT('Information Sheet'!$D$8/'Information Sheet'!$E$10,'Information Sheet'!$D$9*'Information Sheet'!$E$10,'Information Sheet'!$J$9))</f>
        <v/>
      </c>
    </row>
    <row r="112" spans="3:8" x14ac:dyDescent="0.3">
      <c r="C112" s="1" t="str">
        <f>IF(C111&lt;'Information Sheet'!$J$11,'Repayment Schedule'!C111+1,"")</f>
        <v/>
      </c>
      <c r="D112" s="15" t="str">
        <f>IFERROR(EDATE('Information Sheet'!$D$13,'Information Sheet'!$F$10*'Repayment Schedule'!C112),"")</f>
        <v/>
      </c>
      <c r="E112" s="16" t="str">
        <f t="shared" si="1"/>
        <v/>
      </c>
      <c r="F112" s="16" t="str">
        <f>IFERROR(-IPMT('Information Sheet'!$D$8/'Information Sheet'!$E$10,'Repayment Schedule'!C112,'Information Sheet'!$D$9*'Information Sheet'!$E$10,'Information Sheet'!$J$9),"")</f>
        <v/>
      </c>
      <c r="G112" s="16" t="str">
        <f>IFERROR(-PPMT('Information Sheet'!$D$8/'Information Sheet'!$E$10,'Repayment Schedule'!C112,'Information Sheet'!$D$9*'Information Sheet'!$E$10,'Information Sheet'!$J$9),"")</f>
        <v/>
      </c>
      <c r="H112" s="16" t="str">
        <f>IF(C112="","",-PMT('Information Sheet'!$D$8/'Information Sheet'!$E$10,'Information Sheet'!$D$9*'Information Sheet'!$E$10,'Information Sheet'!$J$9))</f>
        <v/>
      </c>
    </row>
    <row r="113" spans="3:8" x14ac:dyDescent="0.3">
      <c r="C113" s="1" t="str">
        <f>IF(C112&lt;'Information Sheet'!$J$11,'Repayment Schedule'!C112+1,"")</f>
        <v/>
      </c>
      <c r="D113" s="15" t="str">
        <f>IFERROR(EDATE('Information Sheet'!$D$13,'Information Sheet'!$F$10*'Repayment Schedule'!C113),"")</f>
        <v/>
      </c>
      <c r="E113" s="16" t="str">
        <f t="shared" si="1"/>
        <v/>
      </c>
      <c r="F113" s="16" t="str">
        <f>IFERROR(-IPMT('Information Sheet'!$D$8/'Information Sheet'!$E$10,'Repayment Schedule'!C113,'Information Sheet'!$D$9*'Information Sheet'!$E$10,'Information Sheet'!$J$9),"")</f>
        <v/>
      </c>
      <c r="G113" s="16" t="str">
        <f>IFERROR(-PPMT('Information Sheet'!$D$8/'Information Sheet'!$E$10,'Repayment Schedule'!C113,'Information Sheet'!$D$9*'Information Sheet'!$E$10,'Information Sheet'!$J$9),"")</f>
        <v/>
      </c>
      <c r="H113" s="16" t="str">
        <f>IF(C113="","",-PMT('Information Sheet'!$D$8/'Information Sheet'!$E$10,'Information Sheet'!$D$9*'Information Sheet'!$E$10,'Information Sheet'!$J$9))</f>
        <v/>
      </c>
    </row>
    <row r="114" spans="3:8" x14ac:dyDescent="0.3">
      <c r="C114" s="1" t="str">
        <f>IF(C113&lt;'Information Sheet'!$J$11,'Repayment Schedule'!C113+1,"")</f>
        <v/>
      </c>
      <c r="D114" s="15" t="str">
        <f>IFERROR(EDATE('Information Sheet'!$D$13,'Information Sheet'!$F$10*'Repayment Schedule'!C114),"")</f>
        <v/>
      </c>
      <c r="E114" s="16" t="str">
        <f t="shared" si="1"/>
        <v/>
      </c>
      <c r="F114" s="16" t="str">
        <f>IFERROR(-IPMT('Information Sheet'!$D$8/'Information Sheet'!$E$10,'Repayment Schedule'!C114,'Information Sheet'!$D$9*'Information Sheet'!$E$10,'Information Sheet'!$J$9),"")</f>
        <v/>
      </c>
      <c r="G114" s="16" t="str">
        <f>IFERROR(-PPMT('Information Sheet'!$D$8/'Information Sheet'!$E$10,'Repayment Schedule'!C114,'Information Sheet'!$D$9*'Information Sheet'!$E$10,'Information Sheet'!$J$9),"")</f>
        <v/>
      </c>
      <c r="H114" s="16" t="str">
        <f>IF(C114="","",-PMT('Information Sheet'!$D$8/'Information Sheet'!$E$10,'Information Sheet'!$D$9*'Information Sheet'!$E$10,'Information Sheet'!$J$9))</f>
        <v/>
      </c>
    </row>
    <row r="115" spans="3:8" x14ac:dyDescent="0.3">
      <c r="C115" s="1" t="str">
        <f>IF(C114&lt;'Information Sheet'!$J$11,'Repayment Schedule'!C114+1,"")</f>
        <v/>
      </c>
      <c r="D115" s="15" t="str">
        <f>IFERROR(EDATE('Information Sheet'!$D$13,'Information Sheet'!$F$10*'Repayment Schedule'!C115),"")</f>
        <v/>
      </c>
      <c r="E115" s="16" t="str">
        <f t="shared" si="1"/>
        <v/>
      </c>
      <c r="F115" s="16" t="str">
        <f>IFERROR(-IPMT('Information Sheet'!$D$8/'Information Sheet'!$E$10,'Repayment Schedule'!C115,'Information Sheet'!$D$9*'Information Sheet'!$E$10,'Information Sheet'!$J$9),"")</f>
        <v/>
      </c>
      <c r="G115" s="16" t="str">
        <f>IFERROR(-PPMT('Information Sheet'!$D$8/'Information Sheet'!$E$10,'Repayment Schedule'!C115,'Information Sheet'!$D$9*'Information Sheet'!$E$10,'Information Sheet'!$J$9),"")</f>
        <v/>
      </c>
      <c r="H115" s="16" t="str">
        <f>IF(C115="","",-PMT('Information Sheet'!$D$8/'Information Sheet'!$E$10,'Information Sheet'!$D$9*'Information Sheet'!$E$10,'Information Sheet'!$J$9))</f>
        <v/>
      </c>
    </row>
    <row r="116" spans="3:8" x14ac:dyDescent="0.3">
      <c r="C116" s="1" t="str">
        <f>IF(C115&lt;'Information Sheet'!$J$11,'Repayment Schedule'!C115+1,"")</f>
        <v/>
      </c>
      <c r="D116" s="15" t="str">
        <f>IFERROR(EDATE('Information Sheet'!$D$13,'Information Sheet'!$F$10*'Repayment Schedule'!C116),"")</f>
        <v/>
      </c>
      <c r="E116" s="16" t="str">
        <f t="shared" si="1"/>
        <v/>
      </c>
      <c r="F116" s="16" t="str">
        <f>IFERROR(-IPMT('Information Sheet'!$D$8/'Information Sheet'!$E$10,'Repayment Schedule'!C116,'Information Sheet'!$D$9*'Information Sheet'!$E$10,'Information Sheet'!$J$9),"")</f>
        <v/>
      </c>
      <c r="G116" s="16" t="str">
        <f>IFERROR(-PPMT('Information Sheet'!$D$8/'Information Sheet'!$E$10,'Repayment Schedule'!C116,'Information Sheet'!$D$9*'Information Sheet'!$E$10,'Information Sheet'!$J$9),"")</f>
        <v/>
      </c>
      <c r="H116" s="16" t="str">
        <f>IF(C116="","",-PMT('Information Sheet'!$D$8/'Information Sheet'!$E$10,'Information Sheet'!$D$9*'Information Sheet'!$E$10,'Information Sheet'!$J$9))</f>
        <v/>
      </c>
    </row>
    <row r="117" spans="3:8" x14ac:dyDescent="0.3">
      <c r="C117" s="1" t="str">
        <f>IF(C116&lt;'Information Sheet'!$J$11,'Repayment Schedule'!C116+1,"")</f>
        <v/>
      </c>
      <c r="D117" s="15" t="str">
        <f>IFERROR(EDATE('Information Sheet'!$D$13,'Information Sheet'!$F$10*'Repayment Schedule'!C117),"")</f>
        <v/>
      </c>
      <c r="E117" s="16" t="str">
        <f t="shared" si="1"/>
        <v/>
      </c>
      <c r="F117" s="16" t="str">
        <f>IFERROR(-IPMT('Information Sheet'!$D$8/'Information Sheet'!$E$10,'Repayment Schedule'!C117,'Information Sheet'!$D$9*'Information Sheet'!$E$10,'Information Sheet'!$J$9),"")</f>
        <v/>
      </c>
      <c r="G117" s="16" t="str">
        <f>IFERROR(-PPMT('Information Sheet'!$D$8/'Information Sheet'!$E$10,'Repayment Schedule'!C117,'Information Sheet'!$D$9*'Information Sheet'!$E$10,'Information Sheet'!$J$9),"")</f>
        <v/>
      </c>
      <c r="H117" s="16" t="str">
        <f>IF(C117="","",-PMT('Information Sheet'!$D$8/'Information Sheet'!$E$10,'Information Sheet'!$D$9*'Information Sheet'!$E$10,'Information Sheet'!$J$9))</f>
        <v/>
      </c>
    </row>
    <row r="118" spans="3:8" x14ac:dyDescent="0.3">
      <c r="C118" s="1" t="str">
        <f>IF(C117&lt;'Information Sheet'!$J$11,'Repayment Schedule'!C117+1,"")</f>
        <v/>
      </c>
      <c r="D118" s="15" t="str">
        <f>IFERROR(EDATE('Information Sheet'!$D$13,'Information Sheet'!$F$10*'Repayment Schedule'!C118),"")</f>
        <v/>
      </c>
      <c r="E118" s="16" t="str">
        <f t="shared" si="1"/>
        <v/>
      </c>
      <c r="F118" s="16" t="str">
        <f>IFERROR(-IPMT('Information Sheet'!$D$8/'Information Sheet'!$E$10,'Repayment Schedule'!C118,'Information Sheet'!$D$9*'Information Sheet'!$E$10,'Information Sheet'!$J$9),"")</f>
        <v/>
      </c>
      <c r="G118" s="16" t="str">
        <f>IFERROR(-PPMT('Information Sheet'!$D$8/'Information Sheet'!$E$10,'Repayment Schedule'!C118,'Information Sheet'!$D$9*'Information Sheet'!$E$10,'Information Sheet'!$J$9),"")</f>
        <v/>
      </c>
      <c r="H118" s="16" t="str">
        <f>IF(C118="","",-PMT('Information Sheet'!$D$8/'Information Sheet'!$E$10,'Information Sheet'!$D$9*'Information Sheet'!$E$10,'Information Sheet'!$J$9))</f>
        <v/>
      </c>
    </row>
    <row r="119" spans="3:8" x14ac:dyDescent="0.3">
      <c r="C119" s="1" t="str">
        <f>IF(C118&lt;'Information Sheet'!$J$11,'Repayment Schedule'!C118+1,"")</f>
        <v/>
      </c>
      <c r="D119" s="15" t="str">
        <f>IFERROR(EDATE('Information Sheet'!$D$13,'Information Sheet'!$F$10*'Repayment Schedule'!C119),"")</f>
        <v/>
      </c>
      <c r="E119" s="16" t="str">
        <f t="shared" si="1"/>
        <v/>
      </c>
      <c r="F119" s="16" t="str">
        <f>IFERROR(-IPMT('Information Sheet'!$D$8/'Information Sheet'!$E$10,'Repayment Schedule'!C119,'Information Sheet'!$D$9*'Information Sheet'!$E$10,'Information Sheet'!$J$9),"")</f>
        <v/>
      </c>
      <c r="G119" s="16" t="str">
        <f>IFERROR(-PPMT('Information Sheet'!$D$8/'Information Sheet'!$E$10,'Repayment Schedule'!C119,'Information Sheet'!$D$9*'Information Sheet'!$E$10,'Information Sheet'!$J$9),"")</f>
        <v/>
      </c>
      <c r="H119" s="16" t="str">
        <f>IF(C119="","",-PMT('Information Sheet'!$D$8/'Information Sheet'!$E$10,'Information Sheet'!$D$9*'Information Sheet'!$E$10,'Information Sheet'!$J$9))</f>
        <v/>
      </c>
    </row>
    <row r="120" spans="3:8" x14ac:dyDescent="0.3">
      <c r="C120" s="1" t="str">
        <f>IF(C119&lt;'Information Sheet'!$J$11,'Repayment Schedule'!C119+1,"")</f>
        <v/>
      </c>
      <c r="D120" s="15" t="str">
        <f>IFERROR(EDATE('Information Sheet'!$D$13,'Information Sheet'!$F$10*'Repayment Schedule'!C120),"")</f>
        <v/>
      </c>
      <c r="E120" s="16" t="str">
        <f t="shared" si="1"/>
        <v/>
      </c>
      <c r="F120" s="16" t="str">
        <f>IFERROR(-IPMT('Information Sheet'!$D$8/'Information Sheet'!$E$10,'Repayment Schedule'!C120,'Information Sheet'!$D$9*'Information Sheet'!$E$10,'Information Sheet'!$J$9),"")</f>
        <v/>
      </c>
      <c r="G120" s="16" t="str">
        <f>IFERROR(-PPMT('Information Sheet'!$D$8/'Information Sheet'!$E$10,'Repayment Schedule'!C120,'Information Sheet'!$D$9*'Information Sheet'!$E$10,'Information Sheet'!$J$9),"")</f>
        <v/>
      </c>
      <c r="H120" s="16" t="str">
        <f>IF(C120="","",-PMT('Information Sheet'!$D$8/'Information Sheet'!$E$10,'Information Sheet'!$D$9*'Information Sheet'!$E$10,'Information Sheet'!$J$9))</f>
        <v/>
      </c>
    </row>
    <row r="121" spans="3:8" x14ac:dyDescent="0.3">
      <c r="C121" s="1" t="str">
        <f>IF(C120&lt;'Information Sheet'!$J$11,'Repayment Schedule'!C120+1,"")</f>
        <v/>
      </c>
      <c r="D121" s="15" t="str">
        <f>IFERROR(EDATE('Information Sheet'!$D$13,'Information Sheet'!$F$10*'Repayment Schedule'!C121),"")</f>
        <v/>
      </c>
      <c r="E121" s="16" t="str">
        <f t="shared" si="1"/>
        <v/>
      </c>
      <c r="F121" s="16" t="str">
        <f>IFERROR(-IPMT('Information Sheet'!$D$8/'Information Sheet'!$E$10,'Repayment Schedule'!C121,'Information Sheet'!$D$9*'Information Sheet'!$E$10,'Information Sheet'!$J$9),"")</f>
        <v/>
      </c>
      <c r="G121" s="16" t="str">
        <f>IFERROR(-PPMT('Information Sheet'!$D$8/'Information Sheet'!$E$10,'Repayment Schedule'!C121,'Information Sheet'!$D$9*'Information Sheet'!$E$10,'Information Sheet'!$J$9),"")</f>
        <v/>
      </c>
      <c r="H121" s="16" t="str">
        <f>IF(C121="","",-PMT('Information Sheet'!$D$8/'Information Sheet'!$E$10,'Information Sheet'!$D$9*'Information Sheet'!$E$10,'Information Sheet'!$J$9))</f>
        <v/>
      </c>
    </row>
    <row r="122" spans="3:8" x14ac:dyDescent="0.3">
      <c r="C122" s="1" t="str">
        <f>IF(C121&lt;'Information Sheet'!$J$11,'Repayment Schedule'!C121+1,"")</f>
        <v/>
      </c>
      <c r="D122" s="15" t="str">
        <f>IFERROR(EDATE('Information Sheet'!$D$13,'Information Sheet'!$F$10*'Repayment Schedule'!C122),"")</f>
        <v/>
      </c>
      <c r="E122" s="16" t="str">
        <f t="shared" si="1"/>
        <v/>
      </c>
      <c r="F122" s="16" t="str">
        <f>IFERROR(-IPMT('Information Sheet'!$D$8/'Information Sheet'!$E$10,'Repayment Schedule'!C122,'Information Sheet'!$D$9*'Information Sheet'!$E$10,'Information Sheet'!$J$9),"")</f>
        <v/>
      </c>
      <c r="G122" s="16" t="str">
        <f>IFERROR(-PPMT('Information Sheet'!$D$8/'Information Sheet'!$E$10,'Repayment Schedule'!C122,'Information Sheet'!$D$9*'Information Sheet'!$E$10,'Information Sheet'!$J$9),"")</f>
        <v/>
      </c>
      <c r="H122" s="16" t="str">
        <f>IF(C122="","",-PMT('Information Sheet'!$D$8/'Information Sheet'!$E$10,'Information Sheet'!$D$9*'Information Sheet'!$E$10,'Information Sheet'!$J$9))</f>
        <v/>
      </c>
    </row>
    <row r="123" spans="3:8" x14ac:dyDescent="0.3">
      <c r="C123" s="1" t="str">
        <f>IF(C122&lt;'Information Sheet'!$J$11,'Repayment Schedule'!C122+1,"")</f>
        <v/>
      </c>
      <c r="D123" s="15" t="str">
        <f>IFERROR(EDATE('Information Sheet'!$D$13,'Information Sheet'!$F$10*'Repayment Schedule'!C123),"")</f>
        <v/>
      </c>
      <c r="E123" s="16" t="str">
        <f t="shared" si="1"/>
        <v/>
      </c>
      <c r="F123" s="16" t="str">
        <f>IFERROR(-IPMT('Information Sheet'!$D$8/'Information Sheet'!$E$10,'Repayment Schedule'!C123,'Information Sheet'!$D$9*'Information Sheet'!$E$10,'Information Sheet'!$J$9),"")</f>
        <v/>
      </c>
      <c r="G123" s="16" t="str">
        <f>IFERROR(-PPMT('Information Sheet'!$D$8/'Information Sheet'!$E$10,'Repayment Schedule'!C123,'Information Sheet'!$D$9*'Information Sheet'!$E$10,'Information Sheet'!$J$9),"")</f>
        <v/>
      </c>
      <c r="H123" s="16" t="str">
        <f>IF(C123="","",-PMT('Information Sheet'!$D$8/'Information Sheet'!$E$10,'Information Sheet'!$D$9*'Information Sheet'!$E$10,'Information Sheet'!$J$9))</f>
        <v/>
      </c>
    </row>
    <row r="124" spans="3:8" x14ac:dyDescent="0.3">
      <c r="C124" s="1" t="str">
        <f>IF(C123&lt;'Information Sheet'!$J$11,'Repayment Schedule'!C123+1,"")</f>
        <v/>
      </c>
      <c r="D124" s="15" t="str">
        <f>IFERROR(EDATE('Information Sheet'!$D$13,'Information Sheet'!$F$10*'Repayment Schedule'!C124),"")</f>
        <v/>
      </c>
      <c r="E124" s="16" t="str">
        <f t="shared" si="1"/>
        <v/>
      </c>
      <c r="F124" s="16" t="str">
        <f>IFERROR(-IPMT('Information Sheet'!$D$8/'Information Sheet'!$E$10,'Repayment Schedule'!C124,'Information Sheet'!$D$9*'Information Sheet'!$E$10,'Information Sheet'!$J$9),"")</f>
        <v/>
      </c>
      <c r="G124" s="16" t="str">
        <f>IFERROR(-PPMT('Information Sheet'!$D$8/'Information Sheet'!$E$10,'Repayment Schedule'!C124,'Information Sheet'!$D$9*'Information Sheet'!$E$10,'Information Sheet'!$J$9),"")</f>
        <v/>
      </c>
      <c r="H124" s="16" t="str">
        <f>IF(C124="","",-PMT('Information Sheet'!$D$8/'Information Sheet'!$E$10,'Information Sheet'!$D$9*'Information Sheet'!$E$10,'Information Sheet'!$J$9))</f>
        <v/>
      </c>
    </row>
    <row r="125" spans="3:8" x14ac:dyDescent="0.3">
      <c r="C125" s="1" t="str">
        <f>IF(C124&lt;'Information Sheet'!$J$11,'Repayment Schedule'!C124+1,"")</f>
        <v/>
      </c>
      <c r="D125" s="15" t="str">
        <f>IFERROR(EDATE('Information Sheet'!$D$13,'Information Sheet'!$F$10*'Repayment Schedule'!C125),"")</f>
        <v/>
      </c>
      <c r="E125" s="16" t="str">
        <f t="shared" si="1"/>
        <v/>
      </c>
      <c r="F125" s="16" t="str">
        <f>IFERROR(-IPMT('Information Sheet'!$D$8/'Information Sheet'!$E$10,'Repayment Schedule'!C125,'Information Sheet'!$D$9*'Information Sheet'!$E$10,'Information Sheet'!$J$9),"")</f>
        <v/>
      </c>
      <c r="G125" s="16" t="str">
        <f>IFERROR(-PPMT('Information Sheet'!$D$8/'Information Sheet'!$E$10,'Repayment Schedule'!C125,'Information Sheet'!$D$9*'Information Sheet'!$E$10,'Information Sheet'!$J$9),"")</f>
        <v/>
      </c>
      <c r="H125" s="16" t="str">
        <f>IF(C125="","",-PMT('Information Sheet'!$D$8/'Information Sheet'!$E$10,'Information Sheet'!$D$9*'Information Sheet'!$E$10,'Information Sheet'!$J$9))</f>
        <v/>
      </c>
    </row>
    <row r="126" spans="3:8" x14ac:dyDescent="0.3">
      <c r="C126" s="1" t="str">
        <f>IF(C125&lt;'Information Sheet'!$J$11,'Repayment Schedule'!C125+1,"")</f>
        <v/>
      </c>
      <c r="D126" s="15" t="str">
        <f>IFERROR(EDATE('Information Sheet'!$D$13,'Information Sheet'!$F$10*'Repayment Schedule'!C126),"")</f>
        <v/>
      </c>
      <c r="E126" s="16" t="str">
        <f t="shared" si="1"/>
        <v/>
      </c>
      <c r="F126" s="16" t="str">
        <f>IFERROR(-IPMT('Information Sheet'!$D$8/'Information Sheet'!$E$10,'Repayment Schedule'!C126,'Information Sheet'!$D$9*'Information Sheet'!$E$10,'Information Sheet'!$J$9),"")</f>
        <v/>
      </c>
      <c r="G126" s="16" t="str">
        <f>IFERROR(-PPMT('Information Sheet'!$D$8/'Information Sheet'!$E$10,'Repayment Schedule'!C126,'Information Sheet'!$D$9*'Information Sheet'!$E$10,'Information Sheet'!$J$9),"")</f>
        <v/>
      </c>
      <c r="H126" s="16" t="str">
        <f>IF(C126="","",-PMT('Information Sheet'!$D$8/'Information Sheet'!$E$10,'Information Sheet'!$D$9*'Information Sheet'!$E$10,'Information Sheet'!$J$9))</f>
        <v/>
      </c>
    </row>
    <row r="127" spans="3:8" x14ac:dyDescent="0.3">
      <c r="C127" s="1" t="str">
        <f>IF(C126&lt;'Information Sheet'!$J$11,'Repayment Schedule'!C126+1,"")</f>
        <v/>
      </c>
      <c r="D127" s="15" t="str">
        <f>IFERROR(EDATE('Information Sheet'!$D$13,'Information Sheet'!$F$10*'Repayment Schedule'!C127),"")</f>
        <v/>
      </c>
      <c r="E127" s="16" t="str">
        <f t="shared" si="1"/>
        <v/>
      </c>
      <c r="F127" s="16" t="str">
        <f>IFERROR(-IPMT('Information Sheet'!$D$8/'Information Sheet'!$E$10,'Repayment Schedule'!C127,'Information Sheet'!$D$9*'Information Sheet'!$E$10,'Information Sheet'!$J$9),"")</f>
        <v/>
      </c>
      <c r="G127" s="16" t="str">
        <f>IFERROR(-PPMT('Information Sheet'!$D$8/'Information Sheet'!$E$10,'Repayment Schedule'!C127,'Information Sheet'!$D$9*'Information Sheet'!$E$10,'Information Sheet'!$J$9),"")</f>
        <v/>
      </c>
      <c r="H127" s="16" t="str">
        <f>IF(C127="","",-PMT('Information Sheet'!$D$8/'Information Sheet'!$E$10,'Information Sheet'!$D$9*'Information Sheet'!$E$10,'Information Sheet'!$J$9))</f>
        <v/>
      </c>
    </row>
    <row r="128" spans="3:8" x14ac:dyDescent="0.3">
      <c r="C128" s="1" t="str">
        <f>IF(C127&lt;'Information Sheet'!$J$11,'Repayment Schedule'!C127+1,"")</f>
        <v/>
      </c>
      <c r="D128" s="15" t="str">
        <f>IFERROR(EDATE('Information Sheet'!$D$13,'Information Sheet'!$F$10*'Repayment Schedule'!C128),"")</f>
        <v/>
      </c>
      <c r="E128" s="16" t="str">
        <f t="shared" si="1"/>
        <v/>
      </c>
      <c r="F128" s="16" t="str">
        <f>IFERROR(-IPMT('Information Sheet'!$D$8/'Information Sheet'!$E$10,'Repayment Schedule'!C128,'Information Sheet'!$D$9*'Information Sheet'!$E$10,'Information Sheet'!$J$9),"")</f>
        <v/>
      </c>
      <c r="G128" s="16" t="str">
        <f>IFERROR(-PPMT('Information Sheet'!$D$8/'Information Sheet'!$E$10,'Repayment Schedule'!C128,'Information Sheet'!$D$9*'Information Sheet'!$E$10,'Information Sheet'!$J$9),"")</f>
        <v/>
      </c>
      <c r="H128" s="16" t="str">
        <f>IF(C128="","",-PMT('Information Sheet'!$D$8/'Information Sheet'!$E$10,'Information Sheet'!$D$9*'Information Sheet'!$E$10,'Information Sheet'!$J$9))</f>
        <v/>
      </c>
    </row>
    <row r="129" spans="3:8" x14ac:dyDescent="0.3">
      <c r="C129" s="1" t="str">
        <f>IF(C128&lt;'Information Sheet'!$J$11,'Repayment Schedule'!C128+1,"")</f>
        <v/>
      </c>
      <c r="D129" s="15" t="str">
        <f>IFERROR(EDATE('Information Sheet'!$D$13,'Information Sheet'!$F$10*'Repayment Schedule'!C129),"")</f>
        <v/>
      </c>
      <c r="E129" s="16" t="str">
        <f t="shared" si="1"/>
        <v/>
      </c>
      <c r="F129" s="16" t="str">
        <f>IFERROR(-IPMT('Information Sheet'!$D$8/'Information Sheet'!$E$10,'Repayment Schedule'!C129,'Information Sheet'!$D$9*'Information Sheet'!$E$10,'Information Sheet'!$J$9),"")</f>
        <v/>
      </c>
      <c r="G129" s="16" t="str">
        <f>IFERROR(-PPMT('Information Sheet'!$D$8/'Information Sheet'!$E$10,'Repayment Schedule'!C129,'Information Sheet'!$D$9*'Information Sheet'!$E$10,'Information Sheet'!$J$9),"")</f>
        <v/>
      </c>
      <c r="H129" s="16" t="str">
        <f>IF(C129="","",-PMT('Information Sheet'!$D$8/'Information Sheet'!$E$10,'Information Sheet'!$D$9*'Information Sheet'!$E$10,'Information Sheet'!$J$9))</f>
        <v/>
      </c>
    </row>
    <row r="130" spans="3:8" x14ac:dyDescent="0.3">
      <c r="C130" s="1" t="str">
        <f>IF(C129&lt;'Information Sheet'!$J$11,'Repayment Schedule'!C129+1,"")</f>
        <v/>
      </c>
      <c r="D130" s="15" t="str">
        <f>IFERROR(EDATE('Information Sheet'!$D$13,'Information Sheet'!$F$10*'Repayment Schedule'!C130),"")</f>
        <v/>
      </c>
      <c r="E130" s="16" t="str">
        <f t="shared" si="1"/>
        <v/>
      </c>
      <c r="F130" s="16" t="str">
        <f>IFERROR(-IPMT('Information Sheet'!$D$8/'Information Sheet'!$E$10,'Repayment Schedule'!C130,'Information Sheet'!$D$9*'Information Sheet'!$E$10,'Information Sheet'!$J$9),"")</f>
        <v/>
      </c>
      <c r="G130" s="16" t="str">
        <f>IFERROR(-PPMT('Information Sheet'!$D$8/'Information Sheet'!$E$10,'Repayment Schedule'!C130,'Information Sheet'!$D$9*'Information Sheet'!$E$10,'Information Sheet'!$J$9),"")</f>
        <v/>
      </c>
      <c r="H130" s="16" t="str">
        <f>IF(C130="","",-PMT('Information Sheet'!$D$8/'Information Sheet'!$E$10,'Information Sheet'!$D$9*'Information Sheet'!$E$10,'Information Sheet'!$J$9))</f>
        <v/>
      </c>
    </row>
    <row r="131" spans="3:8" x14ac:dyDescent="0.3">
      <c r="C131" s="1" t="str">
        <f>IF(C130&lt;'Information Sheet'!$J$11,'Repayment Schedule'!C130+1,"")</f>
        <v/>
      </c>
      <c r="D131" s="15" t="str">
        <f>IFERROR(EDATE('Information Sheet'!$D$13,'Information Sheet'!$F$10*'Repayment Schedule'!C131),"")</f>
        <v/>
      </c>
      <c r="E131" s="16" t="str">
        <f t="shared" si="1"/>
        <v/>
      </c>
      <c r="F131" s="16" t="str">
        <f>IFERROR(-IPMT('Information Sheet'!$D$8/'Information Sheet'!$E$10,'Repayment Schedule'!C131,'Information Sheet'!$D$9*'Information Sheet'!$E$10,'Information Sheet'!$J$9),"")</f>
        <v/>
      </c>
      <c r="G131" s="16" t="str">
        <f>IFERROR(-PPMT('Information Sheet'!$D$8/'Information Sheet'!$E$10,'Repayment Schedule'!C131,'Information Sheet'!$D$9*'Information Sheet'!$E$10,'Information Sheet'!$J$9),"")</f>
        <v/>
      </c>
      <c r="H131" s="16" t="str">
        <f>IF(C131="","",-PMT('Information Sheet'!$D$8/'Information Sheet'!$E$10,'Information Sheet'!$D$9*'Information Sheet'!$E$10,'Information Sheet'!$J$9))</f>
        <v/>
      </c>
    </row>
    <row r="132" spans="3:8" x14ac:dyDescent="0.3">
      <c r="C132" s="1" t="str">
        <f>IF(C131&lt;'Information Sheet'!$J$11,'Repayment Schedule'!C131+1,"")</f>
        <v/>
      </c>
      <c r="D132" s="15" t="str">
        <f>IFERROR(EDATE('Information Sheet'!$D$13,'Information Sheet'!$F$10*'Repayment Schedule'!C132),"")</f>
        <v/>
      </c>
      <c r="E132" s="16" t="str">
        <f t="shared" si="1"/>
        <v/>
      </c>
      <c r="F132" s="16" t="str">
        <f>IFERROR(-IPMT('Information Sheet'!$D$8/'Information Sheet'!$E$10,'Repayment Schedule'!C132,'Information Sheet'!$D$9*'Information Sheet'!$E$10,'Information Sheet'!$J$9),"")</f>
        <v/>
      </c>
      <c r="G132" s="16" t="str">
        <f>IFERROR(-PPMT('Information Sheet'!$D$8/'Information Sheet'!$E$10,'Repayment Schedule'!C132,'Information Sheet'!$D$9*'Information Sheet'!$E$10,'Information Sheet'!$J$9),"")</f>
        <v/>
      </c>
      <c r="H132" s="16" t="str">
        <f>IF(C132="","",-PMT('Information Sheet'!$D$8/'Information Sheet'!$E$10,'Information Sheet'!$D$9*'Information Sheet'!$E$10,'Information Sheet'!$J$9))</f>
        <v/>
      </c>
    </row>
    <row r="133" spans="3:8" x14ac:dyDescent="0.3">
      <c r="C133" s="1" t="str">
        <f>IF(C132&lt;'Information Sheet'!$J$11,'Repayment Schedule'!C132+1,"")</f>
        <v/>
      </c>
      <c r="D133" s="15" t="str">
        <f>IFERROR(EDATE('Information Sheet'!$D$13,'Information Sheet'!$F$10*'Repayment Schedule'!C133),"")</f>
        <v/>
      </c>
      <c r="E133" s="16" t="str">
        <f t="shared" si="1"/>
        <v/>
      </c>
      <c r="F133" s="16" t="str">
        <f>IFERROR(-IPMT('Information Sheet'!$D$8/'Information Sheet'!$E$10,'Repayment Schedule'!C133,'Information Sheet'!$D$9*'Information Sheet'!$E$10,'Information Sheet'!$J$9),"")</f>
        <v/>
      </c>
      <c r="G133" s="16" t="str">
        <f>IFERROR(-PPMT('Information Sheet'!$D$8/'Information Sheet'!$E$10,'Repayment Schedule'!C133,'Information Sheet'!$D$9*'Information Sheet'!$E$10,'Information Sheet'!$J$9),"")</f>
        <v/>
      </c>
      <c r="H133" s="16" t="str">
        <f>IF(C133="","",-PMT('Information Sheet'!$D$8/'Information Sheet'!$E$10,'Information Sheet'!$D$9*'Information Sheet'!$E$10,'Information Sheet'!$J$9))</f>
        <v/>
      </c>
    </row>
    <row r="134" spans="3:8" x14ac:dyDescent="0.3">
      <c r="C134" s="1" t="str">
        <f>IF(C133&lt;'Information Sheet'!$J$11,'Repayment Schedule'!C133+1,"")</f>
        <v/>
      </c>
      <c r="D134" s="15" t="str">
        <f>IFERROR(EDATE('Information Sheet'!$D$13,'Information Sheet'!$F$10*'Repayment Schedule'!C134),"")</f>
        <v/>
      </c>
      <c r="E134" s="16" t="str">
        <f t="shared" si="1"/>
        <v/>
      </c>
      <c r="F134" s="16" t="str">
        <f>IFERROR(-IPMT('Information Sheet'!$D$8/'Information Sheet'!$E$10,'Repayment Schedule'!C134,'Information Sheet'!$D$9*'Information Sheet'!$E$10,'Information Sheet'!$J$9),"")</f>
        <v/>
      </c>
      <c r="G134" s="16" t="str">
        <f>IFERROR(-PPMT('Information Sheet'!$D$8/'Information Sheet'!$E$10,'Repayment Schedule'!C134,'Information Sheet'!$D$9*'Information Sheet'!$E$10,'Information Sheet'!$J$9),"")</f>
        <v/>
      </c>
      <c r="H134" s="16" t="str">
        <f>IF(C134="","",-PMT('Information Sheet'!$D$8/'Information Sheet'!$E$10,'Information Sheet'!$D$9*'Information Sheet'!$E$10,'Information Sheet'!$J$9))</f>
        <v/>
      </c>
    </row>
    <row r="135" spans="3:8" x14ac:dyDescent="0.3">
      <c r="C135" s="1" t="str">
        <f>IF(C134&lt;'Information Sheet'!$J$11,'Repayment Schedule'!C134+1,"")</f>
        <v/>
      </c>
      <c r="D135" s="15" t="str">
        <f>IFERROR(EDATE('Information Sheet'!$D$13,'Information Sheet'!$F$10*'Repayment Schedule'!C135),"")</f>
        <v/>
      </c>
      <c r="E135" s="16" t="str">
        <f t="shared" si="1"/>
        <v/>
      </c>
      <c r="F135" s="16" t="str">
        <f>IFERROR(-IPMT('Information Sheet'!$D$8/'Information Sheet'!$E$10,'Repayment Schedule'!C135,'Information Sheet'!$D$9*'Information Sheet'!$E$10,'Information Sheet'!$J$9),"")</f>
        <v/>
      </c>
      <c r="G135" s="16" t="str">
        <f>IFERROR(-PPMT('Information Sheet'!$D$8/'Information Sheet'!$E$10,'Repayment Schedule'!C135,'Information Sheet'!$D$9*'Information Sheet'!$E$10,'Information Sheet'!$J$9),"")</f>
        <v/>
      </c>
      <c r="H135" s="16" t="str">
        <f>IF(C135="","",-PMT('Information Sheet'!$D$8/'Information Sheet'!$E$10,'Information Sheet'!$D$9*'Information Sheet'!$E$10,'Information Sheet'!$J$9))</f>
        <v/>
      </c>
    </row>
    <row r="136" spans="3:8" x14ac:dyDescent="0.3">
      <c r="C136" s="1" t="str">
        <f>IF(C135&lt;'Information Sheet'!$J$11,'Repayment Schedule'!C135+1,"")</f>
        <v/>
      </c>
      <c r="D136" s="15" t="str">
        <f>IFERROR(EDATE('Information Sheet'!$D$13,'Information Sheet'!$F$10*'Repayment Schedule'!C136),"")</f>
        <v/>
      </c>
      <c r="E136" s="16" t="str">
        <f t="shared" ref="E136:E158" si="2">IFERROR((E135-G136),"")</f>
        <v/>
      </c>
      <c r="F136" s="16" t="str">
        <f>IFERROR(-IPMT('Information Sheet'!$D$8/'Information Sheet'!$E$10,'Repayment Schedule'!C136,'Information Sheet'!$D$9*'Information Sheet'!$E$10,'Information Sheet'!$J$9),"")</f>
        <v/>
      </c>
      <c r="G136" s="16" t="str">
        <f>IFERROR(-PPMT('Information Sheet'!$D$8/'Information Sheet'!$E$10,'Repayment Schedule'!C136,'Information Sheet'!$D$9*'Information Sheet'!$E$10,'Information Sheet'!$J$9),"")</f>
        <v/>
      </c>
      <c r="H136" s="16" t="str">
        <f>IF(C136="","",-PMT('Information Sheet'!$D$8/'Information Sheet'!$E$10,'Information Sheet'!$D$9*'Information Sheet'!$E$10,'Information Sheet'!$J$9))</f>
        <v/>
      </c>
    </row>
    <row r="137" spans="3:8" x14ac:dyDescent="0.3">
      <c r="C137" s="1" t="str">
        <f>IF(C136&lt;'Information Sheet'!$J$11,'Repayment Schedule'!C136+1,"")</f>
        <v/>
      </c>
      <c r="D137" s="15" t="str">
        <f>IFERROR(EDATE('Information Sheet'!$D$13,'Information Sheet'!$F$10*'Repayment Schedule'!C137),"")</f>
        <v/>
      </c>
      <c r="E137" s="16" t="str">
        <f t="shared" si="2"/>
        <v/>
      </c>
      <c r="F137" s="16" t="str">
        <f>IFERROR(-IPMT('Information Sheet'!$D$8/'Information Sheet'!$E$10,'Repayment Schedule'!C137,'Information Sheet'!$D$9*'Information Sheet'!$E$10,'Information Sheet'!$J$9),"")</f>
        <v/>
      </c>
      <c r="G137" s="16" t="str">
        <f>IFERROR(-PPMT('Information Sheet'!$D$8/'Information Sheet'!$E$10,'Repayment Schedule'!C137,'Information Sheet'!$D$9*'Information Sheet'!$E$10,'Information Sheet'!$J$9),"")</f>
        <v/>
      </c>
      <c r="H137" s="16" t="str">
        <f>IF(C137="","",-PMT('Information Sheet'!$D$8/'Information Sheet'!$E$10,'Information Sheet'!$D$9*'Information Sheet'!$E$10,'Information Sheet'!$J$9))</f>
        <v/>
      </c>
    </row>
    <row r="138" spans="3:8" x14ac:dyDescent="0.3">
      <c r="C138" s="1" t="str">
        <f>IF(C137&lt;'Information Sheet'!$J$11,'Repayment Schedule'!C137+1,"")</f>
        <v/>
      </c>
      <c r="D138" s="15" t="str">
        <f>IFERROR(EDATE('Information Sheet'!$D$13,'Information Sheet'!$F$10*'Repayment Schedule'!C138),"")</f>
        <v/>
      </c>
      <c r="E138" s="16" t="str">
        <f t="shared" si="2"/>
        <v/>
      </c>
      <c r="F138" s="16" t="str">
        <f>IFERROR(-IPMT('Information Sheet'!$D$8/'Information Sheet'!$E$10,'Repayment Schedule'!C138,'Information Sheet'!$D$9*'Information Sheet'!$E$10,'Information Sheet'!$J$9),"")</f>
        <v/>
      </c>
      <c r="G138" s="16" t="str">
        <f>IFERROR(-PPMT('Information Sheet'!$D$8/'Information Sheet'!$E$10,'Repayment Schedule'!C138,'Information Sheet'!$D$9*'Information Sheet'!$E$10,'Information Sheet'!$J$9),"")</f>
        <v/>
      </c>
      <c r="H138" s="16" t="str">
        <f>IF(C138="","",-PMT('Information Sheet'!$D$8/'Information Sheet'!$E$10,'Information Sheet'!$D$9*'Information Sheet'!$E$10,'Information Sheet'!$J$9))</f>
        <v/>
      </c>
    </row>
    <row r="139" spans="3:8" x14ac:dyDescent="0.3">
      <c r="C139" s="1" t="str">
        <f>IF(C138&lt;'Information Sheet'!$J$11,'Repayment Schedule'!C138+1,"")</f>
        <v/>
      </c>
      <c r="D139" s="15" t="str">
        <f>IFERROR(EDATE('Information Sheet'!$D$13,'Information Sheet'!$F$10*'Repayment Schedule'!C139),"")</f>
        <v/>
      </c>
      <c r="E139" s="16" t="str">
        <f t="shared" si="2"/>
        <v/>
      </c>
      <c r="F139" s="16" t="str">
        <f>IFERROR(-IPMT('Information Sheet'!$D$8/'Information Sheet'!$E$10,'Repayment Schedule'!C139,'Information Sheet'!$D$9*'Information Sheet'!$E$10,'Information Sheet'!$J$9),"")</f>
        <v/>
      </c>
      <c r="G139" s="16" t="str">
        <f>IFERROR(-PPMT('Information Sheet'!$D$8/'Information Sheet'!$E$10,'Repayment Schedule'!C139,'Information Sheet'!$D$9*'Information Sheet'!$E$10,'Information Sheet'!$J$9),"")</f>
        <v/>
      </c>
      <c r="H139" s="16" t="str">
        <f>IF(C139="","",-PMT('Information Sheet'!$D$8/'Information Sheet'!$E$10,'Information Sheet'!$D$9*'Information Sheet'!$E$10,'Information Sheet'!$J$9))</f>
        <v/>
      </c>
    </row>
    <row r="140" spans="3:8" x14ac:dyDescent="0.3">
      <c r="C140" s="1" t="str">
        <f>IF(C139&lt;'Information Sheet'!$J$11,'Repayment Schedule'!C139+1,"")</f>
        <v/>
      </c>
      <c r="D140" s="15" t="str">
        <f>IFERROR(EDATE('Information Sheet'!$D$13,'Information Sheet'!$F$10*'Repayment Schedule'!C140),"")</f>
        <v/>
      </c>
      <c r="E140" s="16" t="str">
        <f t="shared" si="2"/>
        <v/>
      </c>
      <c r="F140" s="16" t="str">
        <f>IFERROR(-IPMT('Information Sheet'!$D$8/'Information Sheet'!$E$10,'Repayment Schedule'!C140,'Information Sheet'!$D$9*'Information Sheet'!$E$10,'Information Sheet'!$J$9),"")</f>
        <v/>
      </c>
      <c r="G140" s="16" t="str">
        <f>IFERROR(-PPMT('Information Sheet'!$D$8/'Information Sheet'!$E$10,'Repayment Schedule'!C140,'Information Sheet'!$D$9*'Information Sheet'!$E$10,'Information Sheet'!$J$9),"")</f>
        <v/>
      </c>
      <c r="H140" s="16" t="str">
        <f>IF(C140="","",-PMT('Information Sheet'!$D$8/'Information Sheet'!$E$10,'Information Sheet'!$D$9*'Information Sheet'!$E$10,'Information Sheet'!$J$9))</f>
        <v/>
      </c>
    </row>
    <row r="141" spans="3:8" x14ac:dyDescent="0.3">
      <c r="C141" s="1" t="str">
        <f>IF(C140&lt;'Information Sheet'!$J$11,'Repayment Schedule'!C140+1,"")</f>
        <v/>
      </c>
      <c r="D141" s="15" t="str">
        <f>IFERROR(EDATE('Information Sheet'!$D$13,'Information Sheet'!$F$10*'Repayment Schedule'!C141),"")</f>
        <v/>
      </c>
      <c r="E141" s="16" t="str">
        <f t="shared" si="2"/>
        <v/>
      </c>
      <c r="F141" s="16" t="str">
        <f>IFERROR(-IPMT('Information Sheet'!$D$8/'Information Sheet'!$E$10,'Repayment Schedule'!C141,'Information Sheet'!$D$9*'Information Sheet'!$E$10,'Information Sheet'!$J$9),"")</f>
        <v/>
      </c>
      <c r="G141" s="16" t="str">
        <f>IFERROR(-PPMT('Information Sheet'!$D$8/'Information Sheet'!$E$10,'Repayment Schedule'!C141,'Information Sheet'!$D$9*'Information Sheet'!$E$10,'Information Sheet'!$J$9),"")</f>
        <v/>
      </c>
      <c r="H141" s="16" t="str">
        <f>IF(C141="","",-PMT('Information Sheet'!$D$8/'Information Sheet'!$E$10,'Information Sheet'!$D$9*'Information Sheet'!$E$10,'Information Sheet'!$J$9))</f>
        <v/>
      </c>
    </row>
    <row r="142" spans="3:8" x14ac:dyDescent="0.3">
      <c r="C142" s="1" t="str">
        <f>IF(C141&lt;'Information Sheet'!$J$11,'Repayment Schedule'!C141+1,"")</f>
        <v/>
      </c>
      <c r="D142" s="15" t="str">
        <f>IFERROR(EDATE('Information Sheet'!$D$13,'Information Sheet'!$F$10*'Repayment Schedule'!C142),"")</f>
        <v/>
      </c>
      <c r="E142" s="16" t="str">
        <f t="shared" si="2"/>
        <v/>
      </c>
      <c r="F142" s="16" t="str">
        <f>IFERROR(-IPMT('Information Sheet'!$D$8/'Information Sheet'!$E$10,'Repayment Schedule'!C142,'Information Sheet'!$D$9*'Information Sheet'!$E$10,'Information Sheet'!$J$9),"")</f>
        <v/>
      </c>
      <c r="G142" s="16" t="str">
        <f>IFERROR(-PPMT('Information Sheet'!$D$8/'Information Sheet'!$E$10,'Repayment Schedule'!C142,'Information Sheet'!$D$9*'Information Sheet'!$E$10,'Information Sheet'!$J$9),"")</f>
        <v/>
      </c>
      <c r="H142" s="16" t="str">
        <f>IF(C142="","",-PMT('Information Sheet'!$D$8/'Information Sheet'!$E$10,'Information Sheet'!$D$9*'Information Sheet'!$E$10,'Information Sheet'!$J$9))</f>
        <v/>
      </c>
    </row>
    <row r="143" spans="3:8" x14ac:dyDescent="0.3">
      <c r="C143" s="1" t="str">
        <f>IF(C142&lt;'Information Sheet'!$J$11,'Repayment Schedule'!C142+1,"")</f>
        <v/>
      </c>
      <c r="D143" s="15" t="str">
        <f>IFERROR(EDATE('Information Sheet'!$D$13,'Information Sheet'!$F$10*'Repayment Schedule'!C143),"")</f>
        <v/>
      </c>
      <c r="E143" s="16" t="str">
        <f t="shared" si="2"/>
        <v/>
      </c>
      <c r="F143" s="16" t="str">
        <f>IFERROR(-IPMT('Information Sheet'!$D$8/'Information Sheet'!$E$10,'Repayment Schedule'!C143,'Information Sheet'!$D$9*'Information Sheet'!$E$10,'Information Sheet'!$J$9),"")</f>
        <v/>
      </c>
      <c r="G143" s="16" t="str">
        <f>IFERROR(-PPMT('Information Sheet'!$D$8/'Information Sheet'!$E$10,'Repayment Schedule'!C143,'Information Sheet'!$D$9*'Information Sheet'!$E$10,'Information Sheet'!$J$9),"")</f>
        <v/>
      </c>
      <c r="H143" s="16" t="str">
        <f>IF(C143="","",-PMT('Information Sheet'!$D$8/'Information Sheet'!$E$10,'Information Sheet'!$D$9*'Information Sheet'!$E$10,'Information Sheet'!$J$9))</f>
        <v/>
      </c>
    </row>
    <row r="144" spans="3:8" x14ac:dyDescent="0.3">
      <c r="C144" s="1" t="str">
        <f>IF(C143&lt;'Information Sheet'!$J$11,'Repayment Schedule'!C143+1,"")</f>
        <v/>
      </c>
      <c r="D144" s="15" t="str">
        <f>IFERROR(EDATE('Information Sheet'!$D$13,'Information Sheet'!$F$10*'Repayment Schedule'!C144),"")</f>
        <v/>
      </c>
      <c r="E144" s="16" t="str">
        <f t="shared" si="2"/>
        <v/>
      </c>
      <c r="F144" s="16" t="str">
        <f>IFERROR(-IPMT('Information Sheet'!$D$8/'Information Sheet'!$E$10,'Repayment Schedule'!C144,'Information Sheet'!$D$9*'Information Sheet'!$E$10,'Information Sheet'!$J$9),"")</f>
        <v/>
      </c>
      <c r="G144" s="16" t="str">
        <f>IFERROR(-PPMT('Information Sheet'!$D$8/'Information Sheet'!$E$10,'Repayment Schedule'!C144,'Information Sheet'!$D$9*'Information Sheet'!$E$10,'Information Sheet'!$J$9),"")</f>
        <v/>
      </c>
      <c r="H144" s="16" t="str">
        <f>IF(C144="","",-PMT('Information Sheet'!$D$8/'Information Sheet'!$E$10,'Information Sheet'!$D$9*'Information Sheet'!$E$10,'Information Sheet'!$J$9))</f>
        <v/>
      </c>
    </row>
    <row r="145" spans="3:8" x14ac:dyDescent="0.3">
      <c r="C145" s="1" t="str">
        <f>IF(C144&lt;'Information Sheet'!$J$11,'Repayment Schedule'!C144+1,"")</f>
        <v/>
      </c>
      <c r="D145" s="15" t="str">
        <f>IFERROR(EDATE('Information Sheet'!$D$13,'Information Sheet'!$F$10*'Repayment Schedule'!C145),"")</f>
        <v/>
      </c>
      <c r="E145" s="16" t="str">
        <f t="shared" si="2"/>
        <v/>
      </c>
      <c r="F145" s="16" t="str">
        <f>IFERROR(-IPMT('Information Sheet'!$D$8/'Information Sheet'!$E$10,'Repayment Schedule'!C145,'Information Sheet'!$D$9*'Information Sheet'!$E$10,'Information Sheet'!$J$9),"")</f>
        <v/>
      </c>
      <c r="G145" s="16" t="str">
        <f>IFERROR(-PPMT('Information Sheet'!$D$8/'Information Sheet'!$E$10,'Repayment Schedule'!C145,'Information Sheet'!$D$9*'Information Sheet'!$E$10,'Information Sheet'!$J$9),"")</f>
        <v/>
      </c>
      <c r="H145" s="16" t="str">
        <f>IF(C145="","",-PMT('Information Sheet'!$D$8/'Information Sheet'!$E$10,'Information Sheet'!$D$9*'Information Sheet'!$E$10,'Information Sheet'!$J$9))</f>
        <v/>
      </c>
    </row>
    <row r="146" spans="3:8" x14ac:dyDescent="0.3">
      <c r="C146" s="1" t="str">
        <f>IF(C145&lt;'Information Sheet'!$J$11,'Repayment Schedule'!C145+1,"")</f>
        <v/>
      </c>
      <c r="D146" s="15" t="str">
        <f>IFERROR(EDATE('Information Sheet'!$D$13,'Information Sheet'!$F$10*'Repayment Schedule'!C146),"")</f>
        <v/>
      </c>
      <c r="E146" s="16" t="str">
        <f t="shared" si="2"/>
        <v/>
      </c>
      <c r="F146" s="16" t="str">
        <f>IFERROR(-IPMT('Information Sheet'!$D$8/'Information Sheet'!$E$10,'Repayment Schedule'!C146,'Information Sheet'!$D$9*'Information Sheet'!$E$10,'Information Sheet'!$J$9),"")</f>
        <v/>
      </c>
      <c r="G146" s="16" t="str">
        <f>IFERROR(-PPMT('Information Sheet'!$D$8/'Information Sheet'!$E$10,'Repayment Schedule'!C146,'Information Sheet'!$D$9*'Information Sheet'!$E$10,'Information Sheet'!$J$9),"")</f>
        <v/>
      </c>
      <c r="H146" s="16" t="str">
        <f>IF(C146="","",-PMT('Information Sheet'!$D$8/'Information Sheet'!$E$10,'Information Sheet'!$D$9*'Information Sheet'!$E$10,'Information Sheet'!$J$9))</f>
        <v/>
      </c>
    </row>
    <row r="147" spans="3:8" x14ac:dyDescent="0.3">
      <c r="C147" s="1" t="str">
        <f>IF(C146&lt;'Information Sheet'!$J$11,'Repayment Schedule'!C146+1,"")</f>
        <v/>
      </c>
      <c r="D147" s="15" t="str">
        <f>IFERROR(EDATE('Information Sheet'!$D$13,'Information Sheet'!$F$10*'Repayment Schedule'!C147),"")</f>
        <v/>
      </c>
      <c r="E147" s="16" t="str">
        <f t="shared" si="2"/>
        <v/>
      </c>
      <c r="F147" s="16" t="str">
        <f>IFERROR(-IPMT('Information Sheet'!$D$8/'Information Sheet'!$E$10,'Repayment Schedule'!C147,'Information Sheet'!$D$9*'Information Sheet'!$E$10,'Information Sheet'!$J$9),"")</f>
        <v/>
      </c>
      <c r="G147" s="16" t="str">
        <f>IFERROR(-PPMT('Information Sheet'!$D$8/'Information Sheet'!$E$10,'Repayment Schedule'!C147,'Information Sheet'!$D$9*'Information Sheet'!$E$10,'Information Sheet'!$J$9),"")</f>
        <v/>
      </c>
      <c r="H147" s="16" t="str">
        <f>IF(C147="","",-PMT('Information Sheet'!$D$8/'Information Sheet'!$E$10,'Information Sheet'!$D$9*'Information Sheet'!$E$10,'Information Sheet'!$J$9))</f>
        <v/>
      </c>
    </row>
    <row r="148" spans="3:8" x14ac:dyDescent="0.3">
      <c r="C148" s="1" t="str">
        <f>IF(C147&lt;'Information Sheet'!$J$11,'Repayment Schedule'!C147+1,"")</f>
        <v/>
      </c>
      <c r="D148" s="15" t="str">
        <f>IFERROR(EDATE('Information Sheet'!$D$13,'Information Sheet'!$F$10*'Repayment Schedule'!C148),"")</f>
        <v/>
      </c>
      <c r="E148" s="16" t="str">
        <f t="shared" si="2"/>
        <v/>
      </c>
      <c r="F148" s="16" t="str">
        <f>IFERROR(-IPMT('Information Sheet'!$D$8/'Information Sheet'!$E$10,'Repayment Schedule'!C148,'Information Sheet'!$D$9*'Information Sheet'!$E$10,'Information Sheet'!$J$9),"")</f>
        <v/>
      </c>
      <c r="G148" s="16" t="str">
        <f>IFERROR(-PPMT('Information Sheet'!$D$8/'Information Sheet'!$E$10,'Repayment Schedule'!C148,'Information Sheet'!$D$9*'Information Sheet'!$E$10,'Information Sheet'!$J$9),"")</f>
        <v/>
      </c>
      <c r="H148" s="16" t="str">
        <f>IF(C148="","",-PMT('Information Sheet'!$D$8/'Information Sheet'!$E$10,'Information Sheet'!$D$9*'Information Sheet'!$E$10,'Information Sheet'!$J$9))</f>
        <v/>
      </c>
    </row>
    <row r="149" spans="3:8" x14ac:dyDescent="0.3">
      <c r="C149" s="1" t="str">
        <f>IF(C148&lt;'Information Sheet'!$J$11,'Repayment Schedule'!C148+1,"")</f>
        <v/>
      </c>
      <c r="D149" s="15" t="str">
        <f>IFERROR(EDATE('Information Sheet'!$D$13,'Information Sheet'!$F$10*'Repayment Schedule'!C149),"")</f>
        <v/>
      </c>
      <c r="E149" s="16" t="str">
        <f t="shared" si="2"/>
        <v/>
      </c>
      <c r="F149" s="16" t="str">
        <f>IFERROR(-IPMT('Information Sheet'!$D$8/'Information Sheet'!$E$10,'Repayment Schedule'!C149,'Information Sheet'!$D$9*'Information Sheet'!$E$10,'Information Sheet'!$J$9),"")</f>
        <v/>
      </c>
      <c r="G149" s="16" t="str">
        <f>IFERROR(-PPMT('Information Sheet'!$D$8/'Information Sheet'!$E$10,'Repayment Schedule'!C149,'Information Sheet'!$D$9*'Information Sheet'!$E$10,'Information Sheet'!$J$9),"")</f>
        <v/>
      </c>
      <c r="H149" s="16" t="str">
        <f>IF(C149="","",-PMT('Information Sheet'!$D$8/'Information Sheet'!$E$10,'Information Sheet'!$D$9*'Information Sheet'!$E$10,'Information Sheet'!$J$9))</f>
        <v/>
      </c>
    </row>
    <row r="150" spans="3:8" x14ac:dyDescent="0.3">
      <c r="C150" s="1" t="str">
        <f>IF(C149&lt;'Information Sheet'!$J$11,'Repayment Schedule'!C149+1,"")</f>
        <v/>
      </c>
      <c r="D150" s="15" t="str">
        <f>IFERROR(EDATE('Information Sheet'!$D$13,'Information Sheet'!$F$10*'Repayment Schedule'!C150),"")</f>
        <v/>
      </c>
      <c r="E150" s="16" t="str">
        <f t="shared" si="2"/>
        <v/>
      </c>
      <c r="F150" s="16" t="str">
        <f>IFERROR(-IPMT('Information Sheet'!$D$8/'Information Sheet'!$E$10,'Repayment Schedule'!C150,'Information Sheet'!$D$9*'Information Sheet'!$E$10,'Information Sheet'!$J$9),"")</f>
        <v/>
      </c>
      <c r="G150" s="16" t="str">
        <f>IFERROR(-PPMT('Information Sheet'!$D$8/'Information Sheet'!$E$10,'Repayment Schedule'!C150,'Information Sheet'!$D$9*'Information Sheet'!$E$10,'Information Sheet'!$J$9),"")</f>
        <v/>
      </c>
      <c r="H150" s="16" t="str">
        <f>IF(C150="","",-PMT('Information Sheet'!$D$8/'Information Sheet'!$E$10,'Information Sheet'!$D$9*'Information Sheet'!$E$10,'Information Sheet'!$J$9))</f>
        <v/>
      </c>
    </row>
    <row r="151" spans="3:8" x14ac:dyDescent="0.3">
      <c r="C151" s="1" t="str">
        <f>IF(C150&lt;'Information Sheet'!$J$11,'Repayment Schedule'!C150+1,"")</f>
        <v/>
      </c>
      <c r="D151" s="15" t="str">
        <f>IFERROR(EDATE('Information Sheet'!$D$13,'Information Sheet'!$F$10*'Repayment Schedule'!C151),"")</f>
        <v/>
      </c>
      <c r="E151" s="16" t="str">
        <f t="shared" si="2"/>
        <v/>
      </c>
      <c r="F151" s="16" t="str">
        <f>IF(C151="","",-IPMT('Information Sheet'!$D$8/'Information Sheet'!$E$10,'Repayment Schedule'!C151,'Information Sheet'!$D$9*'Information Sheet'!$E$10,'Information Sheet'!$J$9))</f>
        <v/>
      </c>
      <c r="G151" s="16" t="str">
        <f>IF(C151="","",-PPMT('Information Sheet'!$D$8/'Information Sheet'!$E$10,'Repayment Schedule'!C151,'Information Sheet'!$D$9*'Information Sheet'!$E$10,'Information Sheet'!$J$9))</f>
        <v/>
      </c>
      <c r="H151" s="16" t="str">
        <f>IF(C151="","",-PMT('Information Sheet'!$D$8/'Information Sheet'!$E$10,'Information Sheet'!$D$9*'Information Sheet'!$E$10,'Information Sheet'!$J$9))</f>
        <v/>
      </c>
    </row>
    <row r="152" spans="3:8" x14ac:dyDescent="0.3">
      <c r="C152" s="1" t="str">
        <f>IF(C151&lt;'Information Sheet'!$J$11,'Repayment Schedule'!C151+1,"")</f>
        <v/>
      </c>
      <c r="D152" s="15" t="str">
        <f>IFERROR(EDATE('Information Sheet'!$D$13,'Information Sheet'!$F$10*'Repayment Schedule'!C152),"")</f>
        <v/>
      </c>
      <c r="E152" s="16" t="str">
        <f t="shared" si="2"/>
        <v/>
      </c>
      <c r="F152" s="16" t="str">
        <f>IF(C152="","",-IPMT('Information Sheet'!$D$8/'Information Sheet'!$E$10,'Repayment Schedule'!C152,'Information Sheet'!$D$9*'Information Sheet'!$E$10,'Information Sheet'!$J$9))</f>
        <v/>
      </c>
      <c r="G152" s="16" t="str">
        <f>IF(C152="","",-PPMT('Information Sheet'!$D$8/'Information Sheet'!$E$10,'Repayment Schedule'!C152,'Information Sheet'!$D$9*'Information Sheet'!$E$10,'Information Sheet'!$J$9))</f>
        <v/>
      </c>
      <c r="H152" s="16" t="str">
        <f>IF(C152="","",-PMT('Information Sheet'!$D$8/'Information Sheet'!$E$10,'Information Sheet'!$D$9*'Information Sheet'!$E$10,'Information Sheet'!$J$9))</f>
        <v/>
      </c>
    </row>
    <row r="153" spans="3:8" x14ac:dyDescent="0.3">
      <c r="C153" s="1" t="str">
        <f>IF(C152&lt;'Information Sheet'!$J$11,'Repayment Schedule'!C152+1,"")</f>
        <v/>
      </c>
      <c r="D153" s="15" t="str">
        <f>IFERROR(EDATE('Information Sheet'!$D$13,'Information Sheet'!$F$10*'Repayment Schedule'!C153),"")</f>
        <v/>
      </c>
      <c r="E153" s="16" t="str">
        <f t="shared" si="2"/>
        <v/>
      </c>
      <c r="F153" s="16" t="str">
        <f>IF(C153="","",-IPMT('Information Sheet'!$D$8/'Information Sheet'!$E$10,'Repayment Schedule'!C153,'Information Sheet'!$D$9*'Information Sheet'!$E$10,'Information Sheet'!$J$9))</f>
        <v/>
      </c>
      <c r="G153" s="16" t="str">
        <f>IF(C153="","",-PPMT('Information Sheet'!$D$8/'Information Sheet'!$E$10,'Repayment Schedule'!C153,'Information Sheet'!$D$9*'Information Sheet'!$E$10,'Information Sheet'!$J$9))</f>
        <v/>
      </c>
      <c r="H153" s="16" t="str">
        <f>IF(C153="","",-PMT('Information Sheet'!$D$8/'Information Sheet'!$E$10,'Information Sheet'!$D$9*'Information Sheet'!$E$10,'Information Sheet'!$J$9))</f>
        <v/>
      </c>
    </row>
    <row r="154" spans="3:8" x14ac:dyDescent="0.3">
      <c r="C154" s="1" t="str">
        <f>IF(C153&lt;'Information Sheet'!$J$11,'Repayment Schedule'!C153+1,"")</f>
        <v/>
      </c>
      <c r="D154" s="15" t="str">
        <f>IFERROR(EDATE('Information Sheet'!$D$13,'Information Sheet'!$F$10*'Repayment Schedule'!C154),"")</f>
        <v/>
      </c>
      <c r="E154" s="16" t="str">
        <f t="shared" si="2"/>
        <v/>
      </c>
      <c r="F154" s="16" t="str">
        <f>IF(C154="","",-IPMT('Information Sheet'!$D$8/'Information Sheet'!$E$10,'Repayment Schedule'!C154,'Information Sheet'!$D$9*'Information Sheet'!$E$10,'Information Sheet'!$J$9))</f>
        <v/>
      </c>
      <c r="G154" s="16" t="str">
        <f>IF(C154="","",-PPMT('Information Sheet'!$D$8/'Information Sheet'!$E$10,'Repayment Schedule'!C154,'Information Sheet'!$D$9*'Information Sheet'!$E$10,'Information Sheet'!$J$9))</f>
        <v/>
      </c>
      <c r="H154" s="16" t="str">
        <f>IF(C154="","",-PMT('Information Sheet'!$D$8/'Information Sheet'!$E$10,'Information Sheet'!$D$9*'Information Sheet'!$E$10,'Information Sheet'!$J$9))</f>
        <v/>
      </c>
    </row>
    <row r="155" spans="3:8" x14ac:dyDescent="0.3">
      <c r="C155" s="1" t="str">
        <f>IF(C154&lt;'Information Sheet'!$J$11,'Repayment Schedule'!C154+1,"")</f>
        <v/>
      </c>
      <c r="D155" s="15" t="str">
        <f>IFERROR(EDATE('Information Sheet'!$D$13,'Information Sheet'!$F$10*'Repayment Schedule'!C155),"")</f>
        <v/>
      </c>
      <c r="E155" s="16" t="str">
        <f t="shared" si="2"/>
        <v/>
      </c>
      <c r="F155" s="16" t="str">
        <f>IF(C155="","",-IPMT('Information Sheet'!$D$8/'Information Sheet'!$E$10,'Repayment Schedule'!C155,'Information Sheet'!$D$9*'Information Sheet'!$E$10,'Information Sheet'!$J$9))</f>
        <v/>
      </c>
      <c r="G155" s="16" t="str">
        <f>IF(C155="","",-PPMT('Information Sheet'!$D$8/'Information Sheet'!$E$10,'Repayment Schedule'!C155,'Information Sheet'!$D$9*'Information Sheet'!$E$10,'Information Sheet'!$J$9))</f>
        <v/>
      </c>
      <c r="H155" s="16" t="str">
        <f>IF(C155="","",-PMT('Information Sheet'!$D$8/'Information Sheet'!$E$10,'Information Sheet'!$D$9*'Information Sheet'!$E$10,'Information Sheet'!$J$9))</f>
        <v/>
      </c>
    </row>
    <row r="156" spans="3:8" x14ac:dyDescent="0.3">
      <c r="C156" s="1" t="str">
        <f>IF(C155&lt;'Information Sheet'!$J$11,'Repayment Schedule'!C155+1,"")</f>
        <v/>
      </c>
      <c r="D156" s="15" t="str">
        <f>IFERROR(EDATE('Information Sheet'!$D$13,'Information Sheet'!$F$10*'Repayment Schedule'!C156),"")</f>
        <v/>
      </c>
      <c r="E156" s="16" t="str">
        <f t="shared" si="2"/>
        <v/>
      </c>
      <c r="F156" s="16" t="str">
        <f>IF(C156="","",-IPMT('Information Sheet'!$D$8/'Information Sheet'!$E$10,'Repayment Schedule'!C156,'Information Sheet'!$D$9*'Information Sheet'!$E$10,'Information Sheet'!$J$9))</f>
        <v/>
      </c>
      <c r="G156" s="16" t="str">
        <f>IF(C156="","",-PPMT('Information Sheet'!$D$8/'Information Sheet'!$E$10,'Repayment Schedule'!C156,'Information Sheet'!$D$9*'Information Sheet'!$E$10,'Information Sheet'!$J$9))</f>
        <v/>
      </c>
      <c r="H156" s="16" t="str">
        <f>IF(C156="","",-PMT('Information Sheet'!$D$8/'Information Sheet'!$E$10,'Information Sheet'!$D$9*'Information Sheet'!$E$10,'Information Sheet'!$J$9))</f>
        <v/>
      </c>
    </row>
    <row r="157" spans="3:8" x14ac:dyDescent="0.3">
      <c r="C157" s="1" t="str">
        <f>IF(C156&lt;'Information Sheet'!$J$11,'Repayment Schedule'!C156+1,"")</f>
        <v/>
      </c>
      <c r="D157" s="15" t="str">
        <f>IFERROR(EDATE('Information Sheet'!$D$13,'Information Sheet'!$F$10*'Repayment Schedule'!C157),"")</f>
        <v/>
      </c>
      <c r="E157" s="16" t="str">
        <f t="shared" si="2"/>
        <v/>
      </c>
      <c r="F157" s="16" t="str">
        <f>IF(C157="","",-IPMT('Information Sheet'!$D$8/'Information Sheet'!$E$10,'Repayment Schedule'!C157,'Information Sheet'!$D$9*'Information Sheet'!$E$10,'Information Sheet'!$J$9))</f>
        <v/>
      </c>
      <c r="G157" s="16" t="str">
        <f>IF(C157="","",-PPMT('Information Sheet'!$D$8/'Information Sheet'!$E$10,'Repayment Schedule'!C157,'Information Sheet'!$D$9*'Information Sheet'!$E$10,'Information Sheet'!$J$9))</f>
        <v/>
      </c>
      <c r="H157" s="16" t="str">
        <f>IF(C157="","",-PMT('Information Sheet'!$D$8/'Information Sheet'!$E$10,'Information Sheet'!$D$9*'Information Sheet'!$E$10,'Information Sheet'!$J$9))</f>
        <v/>
      </c>
    </row>
    <row r="158" spans="3:8" x14ac:dyDescent="0.3">
      <c r="C158" s="1" t="str">
        <f>IF(C157&lt;'Information Sheet'!$J$11,'Repayment Schedule'!C157+1,"")</f>
        <v/>
      </c>
      <c r="D158" s="15" t="str">
        <f>IFERROR(EDATE('Information Sheet'!$D$13,'Information Sheet'!$F$10*'Repayment Schedule'!C158),"")</f>
        <v/>
      </c>
      <c r="E158" s="16" t="str">
        <f t="shared" si="2"/>
        <v/>
      </c>
      <c r="F158" s="16" t="str">
        <f>IF(C158="","",-IPMT('Information Sheet'!$D$8/'Information Sheet'!$E$10,'Repayment Schedule'!C158,'Information Sheet'!$D$9*'Information Sheet'!$E$10,'Information Sheet'!$J$9))</f>
        <v/>
      </c>
      <c r="G158" s="16" t="str">
        <f>IF(C158="","",-PPMT('Information Sheet'!$D$8/'Information Sheet'!$E$10,'Repayment Schedule'!C158,'Information Sheet'!$D$9*'Information Sheet'!$E$10,'Information Sheet'!$J$9))</f>
        <v/>
      </c>
      <c r="H158" s="16" t="str">
        <f>IF(C158="","",-PMT('Information Sheet'!$D$8/'Information Sheet'!$E$10,'Information Sheet'!$D$9*'Information Sheet'!$E$10,'Information Sheet'!$J$9))</f>
        <v/>
      </c>
    </row>
  </sheetData>
  <mergeCells count="1">
    <mergeCell ref="C3:H3"/>
  </mergeCells>
  <conditionalFormatting sqref="C6:H158">
    <cfRule type="expression" dxfId="0" priority="1">
      <formula>AND(C6&lt;&gt;"",C6&lt;&gt;0)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15DBE-F577-4F47-B9C8-621979AFA577}">
  <dimension ref="A1"/>
  <sheetViews>
    <sheetView workbookViewId="0">
      <selection activeCell="F19" sqref="F19"/>
    </sheetView>
  </sheetViews>
  <sheetFormatPr defaultRowHeight="14.4" x14ac:dyDescent="0.3"/>
  <cols>
    <col min="1" max="16384" width="8.8867187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0BE2E-E252-430E-AD02-8ABF62FD0056}">
  <dimension ref="A1:C6"/>
  <sheetViews>
    <sheetView workbookViewId="0">
      <selection activeCell="F19" sqref="F19"/>
    </sheetView>
  </sheetViews>
  <sheetFormatPr defaultRowHeight="14.4" x14ac:dyDescent="0.3"/>
  <cols>
    <col min="1" max="1" width="24.77734375" style="1" customWidth="1"/>
    <col min="2" max="2" width="8.88671875" style="1"/>
    <col min="3" max="3" width="47.6640625" style="1" bestFit="1" customWidth="1"/>
    <col min="4" max="16384" width="8.88671875" style="1"/>
  </cols>
  <sheetData>
    <row r="1" spans="1:3" ht="15" thickBot="1" x14ac:dyDescent="0.35"/>
    <row r="2" spans="1:3" ht="15" thickBot="1" x14ac:dyDescent="0.35">
      <c r="A2" s="33" t="s">
        <v>43</v>
      </c>
      <c r="B2" s="34" t="s">
        <v>44</v>
      </c>
      <c r="C2" s="35" t="s">
        <v>49</v>
      </c>
    </row>
    <row r="3" spans="1:3" x14ac:dyDescent="0.3">
      <c r="A3" s="23" t="s">
        <v>45</v>
      </c>
      <c r="B3" s="24">
        <f t="array" aca="1" ref="B3" ca="1">SUM(IF(ISERROR(Dashboard!A1:L21),1))</f>
        <v>0</v>
      </c>
      <c r="C3" s="24" t="str">
        <f ca="1">_xlfn.FORMULATEXT(B3)</f>
        <v>{=SUM(IF(ISERROR(Dashboard!A1:L21),1))}</v>
      </c>
    </row>
    <row r="4" spans="1:3" x14ac:dyDescent="0.3">
      <c r="A4" s="3" t="s">
        <v>46</v>
      </c>
      <c r="B4" s="2">
        <f t="array" aca="1" ref="B4" ca="1">SUM(IF(ISERROR('Information Sheet'!C4:K13),1,0))</f>
        <v>0</v>
      </c>
      <c r="C4" s="2" t="str">
        <f t="shared" ref="C4:C5" ca="1" si="0">_xlfn.FORMULATEXT(B4)</f>
        <v>{=SUM(IF(ISERROR('Information Sheet'!C4:K13),1,0))}</v>
      </c>
    </row>
    <row r="5" spans="1:3" x14ac:dyDescent="0.3">
      <c r="A5" s="3" t="s">
        <v>47</v>
      </c>
      <c r="B5" s="2">
        <f t="array" ref="B5">SUM(IF(ISERROR('Repayment Schedule'!A1:I179),1,0))</f>
        <v>0</v>
      </c>
      <c r="C5" s="2" t="str">
        <f t="shared" ca="1" si="0"/>
        <v>{=SUM(IF(ISERROR('Repayment Schedule'!A1:I179),1,0))}</v>
      </c>
    </row>
    <row r="6" spans="1:3" x14ac:dyDescent="0.3">
      <c r="A6" s="27" t="s">
        <v>48</v>
      </c>
      <c r="B6" s="2">
        <f ca="1">SUM(B3:B5)</f>
        <v>0</v>
      </c>
      <c r="C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Information Sheet</vt:lpstr>
      <vt:lpstr>Repayment Schedule</vt:lpstr>
      <vt:lpstr>Concept Note</vt:lpstr>
      <vt:lpstr>Audit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</dc:creator>
  <cp:lastModifiedBy>Akshit Vig</cp:lastModifiedBy>
  <dcterms:created xsi:type="dcterms:W3CDTF">2015-06-05T18:17:20Z</dcterms:created>
  <dcterms:modified xsi:type="dcterms:W3CDTF">2025-11-16T18:34:22Z</dcterms:modified>
</cp:coreProperties>
</file>